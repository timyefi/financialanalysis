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2"/>
  </bookViews>
  <sheets>
    <sheet r:id="rId1" sheetId="1" name="00_overview"/>
    <sheet r:id="rId2" sheetId="2" name="01_kpi_dashboard"/>
    <sheet r:id="rId3" sheetId="3" name="02_financial_summary"/>
    <sheet r:id="rId4" sheetId="4" name="03_debt_profile"/>
    <sheet r:id="rId5" sheetId="5" name="04_liquidity_and_covenants"/>
    <sheet r:id="rId6" sheetId="6" name="05_asset_quality"/>
    <sheet r:id="rId7" sheetId="7" name="06_cash_flow_bridge"/>
    <sheet r:id="rId8" sheetId="8" name="07_notes_map"/>
    <sheet r:id="rId9" sheetId="9" name="08_management_support"/>
    <sheet r:id="rId10" sheetId="10" name="09_capital_structure"/>
    <sheet r:id="rId11" sheetId="11" name="99_evidence_index"/>
    <sheet r:id="rId12" sheetId="12" name="RAW_00_overview"/>
    <sheet r:id="rId13" sheetId="13" name="RAW_03_debt_profile"/>
    <sheet r:id="rId14" sheetId="14" name="RAW_06_cash_flow_bridge"/>
  </sheets>
  <calcPr fullCalcOnLoad="1"/>
</workbook>
</file>

<file path=xl/sharedStrings.xml><?xml version="1.0" encoding="utf-8"?>
<sst xmlns="http://schemas.openxmlformats.org/spreadsheetml/2006/main" count="865" uniqueCount="409">
  <si>
    <t>Cash Flow Bridge</t>
  </si>
  <si>
    <t>从附注和利润补充资料里，挑出影响现金流的关键桥梁。</t>
  </si>
  <si>
    <t>利润到现金</t>
  </si>
  <si>
    <t>项目</t>
  </si>
  <si>
    <t>期间</t>
  </si>
  <si>
    <t>数值</t>
  </si>
  <si>
    <t>单位</t>
  </si>
  <si>
    <t>说明</t>
  </si>
  <si>
    <t>归母净亏损</t>
  </si>
  <si>
    <t>2025H1</t>
  </si>
  <si>
    <t>亿元</t>
  </si>
  <si>
    <t>利润端起点</t>
  </si>
  <si>
    <t>资产减值损失</t>
  </si>
  <si>
    <t>利润补充资料</t>
  </si>
  <si>
    <t>信用减值损失</t>
  </si>
  <si>
    <t>应收风险仍在</t>
  </si>
  <si>
    <t>投资收益(损失)</t>
  </si>
  <si>
    <t>非经常性波动</t>
  </si>
  <si>
    <t>经营活动现金流净额</t>
  </si>
  <si>
    <t>现金流结果</t>
  </si>
  <si>
    <t>经营现金流补充说明</t>
  </si>
  <si>
    <t>—</t>
  </si>
  <si>
    <t>净亏损、减值和营运资产变化共同解释</t>
  </si>
  <si>
    <t>筹资活动</t>
  </si>
  <si>
    <t>短期借款期末余额</t>
  </si>
  <si>
    <t>滚动融资</t>
  </si>
  <si>
    <t>长期借款(含一年内到期)</t>
  </si>
  <si>
    <t>筹资活动净变动后口径</t>
  </si>
  <si>
    <t>应付债券(含一年内到期)</t>
  </si>
  <si>
    <t>公开债滚动</t>
  </si>
  <si>
    <t>租赁负债(含一年内到期)</t>
  </si>
  <si>
    <t>广义负债</t>
  </si>
  <si>
    <t>Debt Profile</t>
  </si>
  <si>
    <t>近端债务、长期债务、债券和租赁负债的结构化拆分。</t>
  </si>
  <si>
    <t>近端到期压力</t>
  </si>
  <si>
    <t>备注</t>
  </si>
  <si>
    <t>一年内到期的长期借款</t>
  </si>
  <si>
    <t>无逾期借款</t>
  </si>
  <si>
    <t>一年内到期的应付债券</t>
  </si>
  <si>
    <t>兑付压力</t>
  </si>
  <si>
    <t>一年内到期的租赁负债</t>
  </si>
  <si>
    <t>广义杠杆</t>
  </si>
  <si>
    <t>一年内到期的应付利息</t>
  </si>
  <si>
    <t>现金消耗</t>
  </si>
  <si>
    <t>近端到期债务合计</t>
  </si>
  <si>
    <t>关键压力口径</t>
  </si>
  <si>
    <t>长期债务</t>
  </si>
  <si>
    <t>长期借款净额</t>
  </si>
  <si>
    <t>含各种抵押/信用/质押</t>
  </si>
  <si>
    <t>应付债券净额</t>
  </si>
  <si>
    <t>公开债为主</t>
  </si>
  <si>
    <t>租赁负债净额</t>
  </si>
  <si>
    <t>广义债务</t>
  </si>
  <si>
    <t>有息债务规模（平均）</t>
  </si>
  <si>
    <t>期初与期末余额平均</t>
  </si>
  <si>
    <t>经调整净债务</t>
  </si>
  <si>
    <t>总债务减货币资金</t>
  </si>
  <si>
    <t>融资成本</t>
  </si>
  <si>
    <t>贷款、债券及应付款项的利息支出</t>
  </si>
  <si>
    <t>附注46，含未资本化部分</t>
  </si>
  <si>
    <t>租赁负债的利息支出</t>
  </si>
  <si>
    <t>附注46</t>
  </si>
  <si>
    <t>小计：名义利息支出</t>
  </si>
  <si>
    <t>借款、债券及应付款项利息 + 租赁利息</t>
  </si>
  <si>
    <t>减：资本化利息</t>
  </si>
  <si>
    <t>回到真实融资成本池</t>
  </si>
  <si>
    <t>半年度融资成本（含资本化）</t>
  </si>
  <si>
    <t>融资成本分子</t>
  </si>
  <si>
    <t>年化融资成本率</t>
  </si>
  <si>
    <t>2025H1x2</t>
  </si>
  <si>
    <t>%</t>
  </si>
  <si>
    <t>按平均有息债务规模口径折年</t>
  </si>
  <si>
    <t>资本结构</t>
  </si>
  <si>
    <t>股东权益</t>
  </si>
  <si>
    <t>分母</t>
  </si>
  <si>
    <t>净债务/股东权益</t>
  </si>
  <si>
    <t>x</t>
  </si>
  <si>
    <t>约 90.4%</t>
  </si>
  <si>
    <t>总债务/股东权益</t>
  </si>
  <si>
    <t>约 113.4%</t>
  </si>
  <si>
    <t>管理层披露财务契约借款规模</t>
  </si>
  <si>
    <t>未触发实时偿还</t>
  </si>
  <si>
    <t>万科企业股份有限公司 2025年半年度附注优先分析底稿</t>
  </si>
  <si>
    <t>来源：ChinaMoney 发现 + CNInfo 回退下载；MinerU 解析；financial-analyzer 生成底稿后人工正式化。</t>
  </si>
  <si>
    <t>执行摘要</t>
  </si>
  <si>
    <t>上半年营业收入 1,053.23 亿元，同比下降 26.23%；归母净亏损 119.47 亿元；经营活动现金流净额 -30.39 亿元。账面现金 740.02 亿元，但受限资金 46.55 亿元，按近端到期债务口径现金覆盖率仅 0.52x，按可动用现金口径约 0.52x?</t>
  </si>
  <si>
    <t>关键结论</t>
  </si>
  <si>
    <t>主体仍处于“高体量资产、高杠杆、高抵押、低现金创造”的状态。短期违约信号未显性化，但流动性稳定依赖深铁支持、再融资接续和项目去化。</t>
  </si>
  <si>
    <t>核心指标</t>
  </si>
  <si>
    <t>指标</t>
  </si>
  <si>
    <t>2024H1/2024YE</t>
  </si>
  <si>
    <t>变化/比率</t>
  </si>
  <si>
    <t>解读</t>
  </si>
  <si>
    <t>营业收入(亿元)</t>
  </si>
  <si>
    <t>收入下滑</t>
  </si>
  <si>
    <t>归母净利润(亿元)</t>
  </si>
  <si>
    <t>亏损扩大</t>
  </si>
  <si>
    <t>经营现金流(亿元)</t>
  </si>
  <si>
    <t>仍为负</t>
  </si>
  <si>
    <t>可动用现金(亿元)</t>
  </si>
  <si>
    <t>剔除受限资金</t>
  </si>
  <si>
    <t>近端到期债务(亿元)</t>
  </si>
  <si>
    <t>短债+一年内到期借款/债券/租赁/利息</t>
  </si>
  <si>
    <t>存货净额(亿元)</t>
  </si>
  <si>
    <t>计提减值 152.41 亿元</t>
  </si>
  <si>
    <t>其他应收款净额(亿元)</t>
  </si>
  <si>
    <t>97.47% 单项计提</t>
  </si>
  <si>
    <t>合同负债(亿元)</t>
  </si>
  <si>
    <t>一年以上占 44.58%</t>
  </si>
  <si>
    <t>阅读顺序</t>
  </si>
  <si>
    <t>先看现金、债务和合同负债，再看其他应收、存货和投资性房地产，最后回到利润表补充资料和现金流量表补充资料。</t>
  </si>
  <si>
    <t>Evidence Index</t>
  </si>
  <si>
    <t>证据索引用于回溯各表格中的关键数字。</t>
  </si>
  <si>
    <t>证据ID</t>
  </si>
  <si>
    <t>章节</t>
  </si>
  <si>
    <t>证据摘要</t>
  </si>
  <si>
    <t>来源区间</t>
  </si>
  <si>
    <t>用途</t>
  </si>
  <si>
    <t>EVD-0001</t>
  </si>
  <si>
    <t>1 1 货币资金</t>
  </si>
  <si>
    <t>货币资金、受限资金、境外存款</t>
  </si>
  <si>
    <t>2429-2436</t>
  </si>
  <si>
    <t>现金与受限资金</t>
  </si>
  <si>
    <t>EVD-0002</t>
  </si>
  <si>
    <t>3 3 应收账款</t>
  </si>
  <si>
    <t>应收账款坏账率与账龄</t>
  </si>
  <si>
    <t>2441-2489</t>
  </si>
  <si>
    <t>回款风险</t>
  </si>
  <si>
    <t>EVD-0003</t>
  </si>
  <si>
    <t>5 5 其他应收款</t>
  </si>
  <si>
    <t>其他应收款单项计提 97.47%</t>
  </si>
  <si>
    <t>2497-2559</t>
  </si>
  <si>
    <t>沉淀资金</t>
  </si>
  <si>
    <t>EVD-0004</t>
  </si>
  <si>
    <t>6 6 存货</t>
  </si>
  <si>
    <t>存货减值 152.41 亿元、抵押 62.75 亿元</t>
  </si>
  <si>
    <t>2560-2757</t>
  </si>
  <si>
    <t>库存与抵押</t>
  </si>
  <si>
    <t>EVD-0005</t>
  </si>
  <si>
    <t>7 7 合同资产</t>
  </si>
  <si>
    <t>合同资产 123.38 亿元</t>
  </si>
  <si>
    <t>2758-2777</t>
  </si>
  <si>
    <t>合同结算</t>
  </si>
  <si>
    <t>EVD-0006</t>
  </si>
  <si>
    <t>8 8 其他流动资产</t>
  </si>
  <si>
    <t>合同取得成本与待抵扣增值税</t>
  </si>
  <si>
    <t>2778-2793</t>
  </si>
  <si>
    <t>流动资产</t>
  </si>
  <si>
    <t>EVD-0007</t>
  </si>
  <si>
    <t>12 12 投资性房地产</t>
  </si>
  <si>
    <t>投资性房地产 1,373.63 亿元，抵押 800.46 亿元</t>
  </si>
  <si>
    <t>2830-2842</t>
  </si>
  <si>
    <t>商业资产</t>
  </si>
  <si>
    <t>EVD-0008</t>
  </si>
  <si>
    <t>25 24 应付账款</t>
  </si>
  <si>
    <t>合同负债 1,580.03 亿元，一年以上 704.42 亿元</t>
  </si>
  <si>
    <t>2989-3006</t>
  </si>
  <si>
    <t>预收房款</t>
  </si>
  <si>
    <t>EVD-0009</t>
  </si>
  <si>
    <t>29 28 其他应付款</t>
  </si>
  <si>
    <t>一年内到期的非流动负债 1,347.13 亿元</t>
  </si>
  <si>
    <t>3069-3080</t>
  </si>
  <si>
    <t>近端债务</t>
  </si>
  <si>
    <t>EVD-0010</t>
  </si>
  <si>
    <t>31 30 其他流动负债</t>
  </si>
  <si>
    <t>长期借款 1,780.51 亿元，契约借款 1,039.44 亿元</t>
  </si>
  <si>
    <t>3089-3121</t>
  </si>
  <si>
    <t>银行借款</t>
  </si>
  <si>
    <t>EVD-0011</t>
  </si>
  <si>
    <t>32 31 长期借款</t>
  </si>
  <si>
    <t>应付债券净额 436.02 亿元，一年内到期 273.59 亿元</t>
  </si>
  <si>
    <t>3122-3143</t>
  </si>
  <si>
    <t>债券兑付</t>
  </si>
  <si>
    <t>EVD-0012</t>
  </si>
  <si>
    <t>33 32 应付债券</t>
  </si>
  <si>
    <t>租赁负债净额 157.54 亿元</t>
  </si>
  <si>
    <t>3144-3149</t>
  </si>
  <si>
    <t>EVD-0013</t>
  </si>
  <si>
    <t>55 54 基本每股收益和稀释每股收益的计算过程</t>
  </si>
  <si>
    <t>归母净亏损 119.47 亿元，基本 EPS -1.01 元</t>
  </si>
  <si>
    <t>3345-3350</t>
  </si>
  <si>
    <t>利润质量</t>
  </si>
  <si>
    <t>EVD-0014</t>
  </si>
  <si>
    <t>57 56 现金流量表项目</t>
  </si>
  <si>
    <t>经营活动现金流净额 -30.39 亿元</t>
  </si>
  <si>
    <t>3397-3436</t>
  </si>
  <si>
    <t>现金流</t>
  </si>
  <si>
    <t>EVD-0015</t>
  </si>
  <si>
    <t>79 6 应收、应付关联方等未结算项目情况</t>
  </si>
  <si>
    <t>总债务 3642.58 亿元、净债务 2902.55 亿元</t>
  </si>
  <si>
    <t>杠杆</t>
  </si>
  <si>
    <t>EVD-0016</t>
  </si>
  <si>
    <t>92 2 净资产收益率及每股收益</t>
  </si>
  <si>
    <t>ROE -6.07%、EPS -1.01 元</t>
  </si>
  <si>
    <t>4139-4146</t>
  </si>
  <si>
    <t>股东回报</t>
  </si>
  <si>
    <t>EVD-0017</t>
  </si>
  <si>
    <t>93 3 境内外会计准则下会计数据差异</t>
  </si>
  <si>
    <t>中外准则差异为零</t>
  </si>
  <si>
    <t>4147-4155</t>
  </si>
  <si>
    <t>口径一致</t>
  </si>
  <si>
    <t>EVD-0018</t>
  </si>
  <si>
    <t>47 46 财务费用</t>
  </si>
  <si>
    <t>名义利息 72.57 亿元，资本化利息 32.15 亿元，按期初期末平均有息债务口径，含资本化后半年融资成本约 2.63%，折年约 5.26%</t>
  </si>
  <si>
    <t>3267-3272</t>
  </si>
  <si>
    <t>Capital Structure</t>
  </si>
  <si>
    <t>管理层资本结构口径，结合总债务和净债务观察杠杆。</t>
  </si>
  <si>
    <t>总债务合计</t>
  </si>
  <si>
    <t>管理层口径</t>
  </si>
  <si>
    <t>货币资金</t>
  </si>
  <si>
    <t>扣减项</t>
  </si>
  <si>
    <t>总债务减现金</t>
  </si>
  <si>
    <t>接近 0.90x</t>
  </si>
  <si>
    <t>接近 1.13x</t>
  </si>
  <si>
    <t>Management Support</t>
  </si>
  <si>
    <t>管理层披露的股东支持、债务到期和再融资窗口。</t>
  </si>
  <si>
    <t>支持与窗口</t>
  </si>
  <si>
    <t>事项</t>
  </si>
  <si>
    <t>来源</t>
  </si>
  <si>
    <t>深铁股东借款累计</t>
  </si>
  <si>
    <t>报告正文</t>
  </si>
  <si>
    <t>流动性支撑</t>
  </si>
  <si>
    <t>公开债务偿还</t>
  </si>
  <si>
    <t>已完成</t>
  </si>
  <si>
    <t>境外公开债到期</t>
  </si>
  <si>
    <t>年内</t>
  </si>
  <si>
    <t>2027 年前无到期</t>
  </si>
  <si>
    <t>管理层对流动性判断</t>
  </si>
  <si>
    <t>以支持+再融资缓冲短期风险</t>
  </si>
  <si>
    <t>原文摘要</t>
  </si>
  <si>
    <t>管理层披露：深铁集团在上半年继续提供流动性支持，累计股东借款 238.8 亿元；公司已完成 243.9 亿元公开债务偿还；2027 年之前无境外公开债到期。</t>
  </si>
  <si>
    <t>Notes Map</t>
  </si>
  <si>
    <t>选取最重要的附注章节，作为正式成稿的证据底座。</t>
  </si>
  <si>
    <t>章号</t>
  </si>
  <si>
    <t>行范围</t>
  </si>
  <si>
    <t>关键摘要</t>
  </si>
  <si>
    <t>主题标签</t>
  </si>
  <si>
    <t>1 货币资金</t>
  </si>
  <si>
    <t># 1、货币资金 人民币元 项目 2025年6月30日 2024年12月31日 原币 折算汇率 折合人民币 原币 折算汇率 折合人民币 库存现金： 人民币 6,445,748.27 1.0000 6,445,748.27 8,191,876</t>
  </si>
  <si>
    <t>cash, restricted_assets, risk_management</t>
  </si>
  <si>
    <t>3 应收账款</t>
  </si>
  <si>
    <t># 3、应收账款 (1)按账龄披露 人民币元 账龄 2025 年 6 月 30 日 2024 年 12 月 31 日 1 年以内 7,486,866,135.33 6,615,983,196.98 1 至 3 年 1,977,310,462</t>
  </si>
  <si>
    <t>debt, 应收账款</t>
  </si>
  <si>
    <t>5 其他应收款</t>
  </si>
  <si>
    <t># 5、其他应收款 # 5.1项目列示 人民币元 项目 2025 年 6 月 30 日 2024 年 12 月 31 日 应收利息 - 523,370.83 应收股利 288,938,655.44 65,137,259.06 其他应收款 2</t>
  </si>
  <si>
    <t>debt, liquidity, restricted_assets</t>
  </si>
  <si>
    <t>6 存货</t>
  </si>
  <si>
    <t># 6、存货 # (1)存货分类 人民币元 项目 2025年6月30日 2024年12月31日 账面余额 存货跌价准备 账面价值 账面余额 存货跌价准备 账面价值 已完工开发产品 119,436,183,839.77 2,301,779,1</t>
  </si>
  <si>
    <t>debt, investment_property, restricted_assets</t>
  </si>
  <si>
    <t>7 合同资产</t>
  </si>
  <si>
    <t># 7、合同资产 # (1)合同资产情况 人民币元 项目 2025年6月30日 2024年12月31日 账面余额 坏账准备 账面价值 账面余额 坏账准备 账面价值 建造合同 12,337,821,477.85 - 12,337,821,47</t>
  </si>
  <si>
    <t>risk_management, 合同资产</t>
  </si>
  <si>
    <t>8 其他流动资产</t>
  </si>
  <si>
    <t># 8、其他流动资产 人民币元 项目 2025 年 6 月 30 日 2024 年 12 月 31 日 合同取得成本 3,602,985,345.65 4,126,870,606.04 待抵扣增值税 9,098,771,840.65 9,2</t>
  </si>
  <si>
    <t>profitability, liquidity, 其他流动资产</t>
  </si>
  <si>
    <t>12 投资性房地产</t>
  </si>
  <si>
    <t># 12、投资性房地产 # (1)采用成本计量模式的投资性房地产 人民币元 项目 已完工 在建 合计 一、账面原值 1.2025年1月1日 143,974,575,048.36 11,234,769,985.31 155,209,345,0</t>
  </si>
  <si>
    <t>debt, restricted_assets, external_guarantees</t>
  </si>
  <si>
    <t>24 应付账款</t>
  </si>
  <si>
    <t>2981-2988</t>
  </si>
  <si>
    <t xml:space="preserve"># 24、应付账款 人民币元 项目 2025 年 6 月 30 日 2024 年 12 月 31 日 应付地价 16,009,433,338.20 16,840,960,350.23 应付及预提工程款 106,600,741,232.58 </t>
  </si>
  <si>
    <t>restricted_assets, 应付账款</t>
  </si>
  <si>
    <t>28 其他应付款</t>
  </si>
  <si>
    <t>3037-3068</t>
  </si>
  <si>
    <t># 28、其他应付款 # 28.1 项目列示 人民币元 项目 2025 年 6 月 30 日 2024 年 12 月 31 日 应付利息 48,634,934.82 114,078,222.03 应付股利 267,927,565.70 27</t>
  </si>
  <si>
    <t>debt, profitability, restricted_assets</t>
  </si>
  <si>
    <t>30 其他流动负债</t>
  </si>
  <si>
    <t>3081-3088</t>
  </si>
  <si>
    <t># 30、其他流动负债 人民币元 项目 2025 年 6 月 30 日 2024 年 12 月 31 日 待转销项税(注) 14,641,509,761.17 17,750,017,552.59 合计 14,641,509,761.17 1</t>
  </si>
  <si>
    <t>liquidity, 其他流动负债</t>
  </si>
  <si>
    <t>31 长期借款</t>
  </si>
  <si>
    <t># 31、长期借款 # (1)长期借款分类 人民币元 项目 2025年6月30日 原币 汇率 折人民币 借款条件 银行借款 人民币 62,505,632,279.44 1.0000 62,505,632,279.44 信用(注1) 88,0</t>
  </si>
  <si>
    <t>debt, profitability, liquidity</t>
  </si>
  <si>
    <t>32 应付债券</t>
  </si>
  <si>
    <t># 32、应付债券 (1)应付债券的具体情况(不包括划分为金融负债的优先股、永续债等其他金融工具) 人民币元 债券名称 币种 面值(亿元) 发行日期 债券期限 债券利率 发行金额 2025年1月1日 2025年1月1日 本期发行 按面值计提</t>
  </si>
  <si>
    <t>debt, liquidity, risk_management</t>
  </si>
  <si>
    <t>54 基本每股收益和稀释每股收益的计算过程</t>
  </si>
  <si>
    <t>3329-3344</t>
  </si>
  <si>
    <t># 54、基本每股收益和稀释每股收益的计算过程 人民币元 项目 2025年1月1日至6月30日止期间 2024年1月1日至6月30日止期间 归属于本公司普通股股东的合并净亏损 (11,946,573,688.12) (9,852,499,5</t>
  </si>
  <si>
    <t>profitability, governance</t>
  </si>
  <si>
    <t>55 利润表补充资料</t>
  </si>
  <si>
    <t xml:space="preserve"># 55、利润表补充资料 人民币元 项目 2025 年 1 月 1 日至 6 月 30 日止期间 2024 年 1 月 1 日至 6 月 30 日止期间 营业收入 105,323,304,409.14 142,778,764,079.80 </t>
  </si>
  <si>
    <t>profitability, governance, 利润表补充资料</t>
  </si>
  <si>
    <t>56 现金流量表项目</t>
  </si>
  <si>
    <t>3351-3396</t>
  </si>
  <si>
    <t># 56、现金流量表项目 # (1)与经营活动有关的现金 收到其他与经营活动有关的现金 人民币元 项目 2025 年 1 月 1 日至 6 月 30 日止期间 2024 年 1 月 1 日至 6 月 30 日止期间 按政策允许收取的购房诚意</t>
  </si>
  <si>
    <t>debt, cash, profitability</t>
  </si>
  <si>
    <t>6 应收、应付关联方等未结算项目情况</t>
  </si>
  <si>
    <t>3777-3930</t>
  </si>
  <si>
    <t># 6、应收、应付关联方等未结算项目情况 # (1)应收项目 人民币元 单位名称 与本集团的关系 2025年6月30日 2024年12月31日 云南澄江老鹰地旅游度假村有限公司 联营企业 4,305,204,267.85 4,283,790</t>
  </si>
  <si>
    <t>1 其他应收款</t>
  </si>
  <si>
    <t>4001-4058</t>
  </si>
  <si>
    <t># 1、其他应收款 # 1.1项目列示 人民币元 项目 2025 年 6 月 30 日 2024 年 12 月 31 日 其他应收款 434,633,911,659.23 423,075,784,302.16 # 1.2其他应收款 # (1</t>
  </si>
  <si>
    <t>3 短期借款</t>
  </si>
  <si>
    <t>4079-4088</t>
  </si>
  <si>
    <t># 3、短期借款 # (1)短期借款分类 人民币元 项目 2025年6月30日 2024年12月31日 原币 折人民币 原币 折人民币 银行借款 信用借款 -人民币 3,788,600,645.16 3,788,600,645.16 3,9</t>
  </si>
  <si>
    <t>5 长期借款</t>
  </si>
  <si>
    <t>4109-4120</t>
  </si>
  <si>
    <t># 5、长期借款 人民币元 项目 2025年6月30日 原币 汇率 折人民币 借款条件 银行借款 人民币 55,368,411,012.84 1.0000 55,368,411,012.84 信用 45,537,791,155.49 1.0</t>
  </si>
  <si>
    <t>7 投资收益</t>
  </si>
  <si>
    <t>4125-4132</t>
  </si>
  <si>
    <t># 7、投资收益 人民币元 项目 2025 年 1 月 1 日至 6 月 30 日止期间 2024 年 1 月 1 日至 6 月 30 日止期间 成本法核算的长期股权投资收益 12,476,532,710.35 8,234,007,040.</t>
  </si>
  <si>
    <t>2 净资产收益率及每股收益</t>
  </si>
  <si>
    <t># 2、净资产收益率及每股收益 本净资产收益率和每股收益计算表是万科企业股份有限公司按照中国证券监督管理委员会颁布的《公开发行证券的公司信息披露编报规则第 9号-净资产收益率和每股收益的计算及披露》(2010 年修订)的有关规定而编制的；报</t>
  </si>
  <si>
    <t>profitability, governance, 净资产收益率及每股收益</t>
  </si>
  <si>
    <t>3 境内外会计准则下会计数据差异</t>
  </si>
  <si>
    <t># 3、境内外会计准则下会计数据差异 (1)同时按照国际会计准则与按照中国会计准则披露的财务报告中净亏损和净资产差异情况 人民币元 归属于母公司股东的净亏损 归属于母公司股东的净资产 2025年1月1日至6月30日止期间 2024年1月1日</t>
  </si>
  <si>
    <t>governance, 境内外会计准则下会计数据差异</t>
  </si>
  <si>
    <t>Asset Quality</t>
  </si>
  <si>
    <t>重点看“可变现性”和“是否被抵押”，不是只看账面规模。</t>
  </si>
  <si>
    <t>核心资产</t>
  </si>
  <si>
    <t>判断</t>
  </si>
  <si>
    <t>应收账款净额</t>
  </si>
  <si>
    <t>坏账率 10.92%</t>
  </si>
  <si>
    <t>其他应收款净额</t>
  </si>
  <si>
    <t>单项计提占比 97.47%</t>
  </si>
  <si>
    <t>合同资产</t>
  </si>
  <si>
    <t>政府/相关方为主</t>
  </si>
  <si>
    <t>其他流动资产</t>
  </si>
  <si>
    <t>合同取得成本 + 待抵扣增值税</t>
  </si>
  <si>
    <t>存货净额</t>
  </si>
  <si>
    <t>减值率 3.30%</t>
  </si>
  <si>
    <t>存货抵押/担保</t>
  </si>
  <si>
    <t>占存货净额 13.57%</t>
  </si>
  <si>
    <t>投资性房地产净额</t>
  </si>
  <si>
    <t>抵押占比 58.27%</t>
  </si>
  <si>
    <t>未办妥产权证的投资性房地产</t>
  </si>
  <si>
    <t>产权手续未完结</t>
  </si>
  <si>
    <t>合同负债</t>
  </si>
  <si>
    <t>预付款项（重大一年以上）</t>
  </si>
  <si>
    <t>旧改项目前期款</t>
  </si>
  <si>
    <t>资产质量结论</t>
  </si>
  <si>
    <t>账面资产很大，但其他应收和存货两大科目都存在明显沉淀和减值压力，投资性房地产又被大比例抵押。可动用资产与账面资产之间的差距，是本期信用分析的核心。</t>
  </si>
  <si>
    <t>Liquidity and Covenants</t>
  </si>
  <si>
    <t>现金、受限资产、管理层支持和契约约束放在同一页看。</t>
  </si>
  <si>
    <t>现金与覆盖</t>
  </si>
  <si>
    <t>现金及现金等价物</t>
  </si>
  <si>
    <t>名义现金</t>
  </si>
  <si>
    <t>受限资金</t>
  </si>
  <si>
    <t>不可自由动用</t>
  </si>
  <si>
    <t>可动用现金</t>
  </si>
  <si>
    <t>用于偿债覆盖</t>
  </si>
  <si>
    <t>近端到期债务</t>
  </si>
  <si>
    <t>现金覆盖率</t>
  </si>
  <si>
    <t>覆盖不足 1 倍</t>
  </si>
  <si>
    <t>管理层支持</t>
  </si>
  <si>
    <t>管理层在报告中披露：深铁集团累计向公司提供 238.8 亿元股东借款；上半年已完成 243.9 亿元公开债务偿还；2027 年之前无境外公开债到期。</t>
  </si>
  <si>
    <t>契约与窗口</t>
  </si>
  <si>
    <t>附财务契约借款规模</t>
  </si>
  <si>
    <t>涉及财务比率约束</t>
  </si>
  <si>
    <t>未逾期的一年内到期长期借款</t>
  </si>
  <si>
    <t>公司明确披露无逾期</t>
  </si>
  <si>
    <t>资本结构总债务</t>
  </si>
  <si>
    <t>Financial Summary</t>
  </si>
  <si>
    <t>收入、利润、每股和现金流的低频摘要。</t>
  </si>
  <si>
    <t>利润表摘要</t>
  </si>
  <si>
    <t>营业收入</t>
  </si>
  <si>
    <t>同比 -26.23%</t>
  </si>
  <si>
    <t>投资收益</t>
  </si>
  <si>
    <t>损失</t>
  </si>
  <si>
    <t>营业收入/归母净利润</t>
  </si>
  <si>
    <t>倍</t>
  </si>
  <si>
    <t>营收仍覆盖不了亏损规模</t>
  </si>
  <si>
    <t>归母净利润</t>
  </si>
  <si>
    <t>亏损</t>
  </si>
  <si>
    <t>基本每股收益</t>
  </si>
  <si>
    <t>元</t>
  </si>
  <si>
    <t>为负</t>
  </si>
  <si>
    <t>ROE</t>
  </si>
  <si>
    <t>现金流摘要</t>
  </si>
  <si>
    <t>购买/收回理财产品</t>
  </si>
  <si>
    <t>现金管理</t>
  </si>
  <si>
    <t>收到利息收入</t>
  </si>
  <si>
    <t>资金收益</t>
  </si>
  <si>
    <t>融资活动负债净变动</t>
  </si>
  <si>
    <t>筹资活动净增</t>
  </si>
  <si>
    <t>资产负债表摘要</t>
  </si>
  <si>
    <t>总资产</t>
  </si>
  <si>
    <t>资产规模仍大</t>
  </si>
  <si>
    <t>总负债</t>
  </si>
  <si>
    <t>高杠杆</t>
  </si>
  <si>
    <t>仍为正</t>
  </si>
  <si>
    <t>资产负债率</t>
  </si>
  <si>
    <t>杠杆偏高</t>
  </si>
  <si>
    <t>KPI Dashboard</t>
  </si>
  <si>
    <t>用于快速扫描收入、利润、现金和杠杆四条主线。</t>
  </si>
  <si>
    <t>分类</t>
  </si>
  <si>
    <t>变化</t>
  </si>
  <si>
    <t>风险判断</t>
  </si>
  <si>
    <t>盈利</t>
  </si>
  <si>
    <t>收入明显下行</t>
  </si>
  <si>
    <t>股东回报为负</t>
  </si>
  <si>
    <t>现金</t>
  </si>
  <si>
    <t>经营活动现金流</t>
  </si>
  <si>
    <t>流动性</t>
  </si>
  <si>
    <t>亿元/x</t>
  </si>
  <si>
    <t>覆盖不足</t>
  </si>
  <si>
    <t>再融资压力大</t>
  </si>
  <si>
    <t>融资</t>
  </si>
  <si>
    <t>半年名义融资成本率</t>
  </si>
  <si>
    <t>不含资本化利息</t>
  </si>
  <si>
    <t>半年融资成本率（含资本化）</t>
  </si>
  <si>
    <t>按平均有息债务规模口径</t>
  </si>
  <si>
    <t>按平均有息债务规模折年</t>
  </si>
  <si>
    <t>资产质量</t>
  </si>
  <si>
    <t>沉淀资金高</t>
  </si>
  <si>
    <t>去化与减值并存</t>
  </si>
  <si>
    <t>抵押深度高</t>
  </si>
  <si>
    <t>预收款仍是周转源</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</si>
</sst>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0.00%"/>
  </numFmts>
  <fonts count="6" x14ac:knownFonts="1">
    <font>
      <sz val="11"/>
      <color theme="1"/>
      <name val="Calibri"/>
      <family val="2"/>
      <scheme val="minor"/>
    </font>
    <font>
      <sz val="14"/>
      <color rgb="FFffffff"/>
      <name val="Calibri"/>
      <family val="2"/>
    </font>
    <font>
      <sz val="11"/>
      <color theme="1"/>
      <name val="Calibri"/>
      <family val="2"/>
    </font>
    <font>
      <sz val="12"/>
      <color rgb="FF1f1f1f"/>
      <name val="Calibri"/>
      <family val="2"/>
    </font>
    <font>
      <sz val="11"/>
      <color rgb="FFffffff"/>
      <name val="Calibri"/>
      <family val="2"/>
    </font>
    <font>
      <sz val="11"/>
      <color theme="1"/>
      <name val="Calibri"/>
      <family val="2"/>
    </font>
  </fonts>
  <fills count="6">
    <fill>
      <patternFill patternType="none"/>
    </fill>
    <fill>
      <patternFill patternType="gray125"/>
    </fill>
    <fill>
      <patternFill patternType="solid">
        <fgColor rgb="FF173a5e"/>
      </patternFill>
    </fill>
    <fill>
      <patternFill patternType="solid">
        <fgColor rgb="FFf7fafd"/>
      </patternFill>
    </fill>
    <fill>
      <patternFill patternType="solid">
        <fgColor rgb="FFd9eaf7"/>
      </patternFill>
    </fill>
    <fill>
      <patternFill patternType="solid">
        <fgColor rgb="FF2f5e86"/>
      </patternFill>
    </fill>
  </fills>
  <borders count="8">
    <border>
      <left/>
      <right/>
      <top/>
      <bottom/>
      <diagonal/>
    </border>
    <border>
      <left style="thin">
        <color rgb="FFc6c6c6"/>
      </left>
      <right style="thin">
        <color rgb="FFc6c6c6"/>
      </right>
      <top style="thin">
        <color rgb="FFc6c6c6"/>
      </top>
      <bottom style="thin">
        <color rgb="FFc6c6c6"/>
      </bottom>
      <diagonal/>
    </border>
    <border>
      <left style="thin">
        <color rgb="FFb7c9d6"/>
      </left>
      <right style="thin">
        <color rgb="FFb7c9d6"/>
      </right>
      <top style="thin">
        <color rgb="FFb7c9d6"/>
      </top>
      <bottom style="thin">
        <color rgb="FFb7c9d6"/>
      </bottom>
      <diagonal/>
    </border>
    <border>
      <left/>
      <right/>
      <top style="thin">
        <color rgb="FFb7c9d6"/>
      </top>
      <bottom/>
      <diagonal/>
    </border>
    <border>
      <left/>
      <right style="thin">
        <color rgb="FFb7c9d6"/>
      </right>
      <top style="thin">
        <color rgb="FFb7c9d6"/>
      </top>
      <bottom/>
      <diagonal/>
    </border>
    <border>
      <left style="thin">
        <color rgb="FFb7c9d6"/>
      </left>
      <right/>
      <top/>
      <bottom style="thin">
        <color rgb="FFb7c9d6"/>
      </bottom>
      <diagonal/>
    </border>
    <border>
      <left/>
      <right/>
      <top/>
      <bottom style="thin">
        <color rgb="FFb7c9d6"/>
      </bottom>
      <diagonal/>
    </border>
    <border>
      <left/>
      <right style="thin">
        <color rgb="FFb7c9d6"/>
      </right>
      <top/>
      <bottom style="thin">
        <color rgb="FFb7c9d6"/>
      </bottom>
      <diagonal/>
    </border>
  </borders>
  <cellStyleXfs count="1">
    <xf numFmtId="0" fontId="0" fillId="0" borderId="0"/>
  </cellStyleXfs>
  <cellXfs count="57">
    <xf xfId="0" numFmtId="0" borderId="0" fontId="0" fillId="0"/>
    <xf xfId="0" numFmtId="0" borderId="0" fontId="0" fillId="0" applyAlignment="1">
      <alignment wrapText="1"/>
    </xf>
    <xf xfId="0" numFmtId="0" borderId="1" applyBorder="1" fontId="1" applyFont="1" fillId="2" applyFill="1" applyAlignment="1">
      <alignment horizontal="left" wrapText="1"/>
    </xf>
    <xf xfId="0" numFmtId="0" borderId="0" fontId="0" fillId="0" applyAlignment="1">
      <alignment horizontal="center" wrapText="1"/>
    </xf>
    <xf xfId="0" numFmtId="4" applyNumberFormat="1" borderId="0" fontId="0" fillId="0" applyAlignment="1">
      <alignment horizontal="center" wrapText="1"/>
    </xf>
    <xf xfId="0" numFmtId="0" borderId="1" applyBorder="1" fontId="2" applyFont="1" fillId="3" applyFill="1" applyAlignment="1">
      <alignment horizontal="left" wrapText="1"/>
    </xf>
    <xf xfId="0" numFmtId="0" borderId="0" fontId="0" fillId="0" applyAlignment="1">
      <alignment horizontal="left"/>
    </xf>
    <xf xfId="0" numFmtId="0" borderId="1" applyBorder="1" fontId="3" applyFont="1" fillId="4" applyFill="1" applyAlignment="1">
      <alignment horizontal="left"/>
    </xf>
    <xf xfId="0" numFmtId="0" borderId="2" applyBorder="1" fontId="4" applyFont="1" fillId="5" applyFill="1" applyAlignment="1">
      <alignment horizontal="center" wrapText="1"/>
    </xf>
    <xf xfId="0" numFmtId="4" applyNumberFormat="1" borderId="2" applyBorder="1" fontId="4" applyFont="1" fillId="5" applyFill="1" applyAlignment="1">
      <alignment horizontal="center" wrapText="1"/>
    </xf>
    <xf xfId="0" numFmtId="0" borderId="2" applyBorder="1" fontId="2" applyFont="1" fillId="0" applyAlignment="1">
      <alignment horizontal="left" wrapText="1"/>
    </xf>
    <xf xfId="0" numFmtId="0" borderId="2" applyBorder="1" fontId="2" applyFont="1" fillId="0" applyAlignment="1">
      <alignment horizontal="center" wrapText="1"/>
    </xf>
    <xf xfId="0" numFmtId="4" applyNumberFormat="1" borderId="2" applyBorder="1" fontId="2" applyFont="1" fillId="0" applyAlignment="1">
      <alignment horizontal="center" wrapText="1"/>
    </xf>
    <xf xfId="0" numFmtId="0" borderId="0" fontId="0" fillId="0" applyAlignment="1">
      <alignment horizontal="left"/>
    </xf>
    <xf xfId="0" numFmtId="0" borderId="0" fontId="0" fillId="0" applyAlignment="1">
      <alignment horizontal="center" wrapText="1"/>
    </xf>
    <xf xfId="0" numFmtId="4" applyNumberFormat="1" borderId="0" fontId="0" fillId="0" applyAlignment="1">
      <alignment horizontal="center" wrapText="1"/>
    </xf>
    <xf xfId="0" numFmtId="0" borderId="2" applyBorder="1" fontId="5" applyFont="1" fillId="3" applyFill="1" applyAlignment="1">
      <alignment horizontal="left" wrapText="1"/>
    </xf>
    <xf xfId="0" numFmtId="0" borderId="2" applyBorder="1" fontId="2" applyFont="1" fillId="3" applyFill="1" applyAlignment="1">
      <alignment horizontal="left" wrapText="1"/>
    </xf>
    <xf xfId="0" numFmtId="164" applyNumberFormat="1" borderId="2" applyBorder="1" fontId="2" applyFont="1" fillId="3" applyFill="1" applyAlignment="1">
      <alignment horizontal="center" wrapText="1"/>
    </xf>
    <xf xfId="0" numFmtId="0" borderId="2" applyBorder="1" fontId="2" applyFont="1" fillId="3" applyFill="1" applyAlignment="1">
      <alignment horizontal="center" wrapText="1"/>
    </xf>
    <xf xfId="0" numFmtId="4" applyNumberFormat="1" borderId="0" fontId="0" fillId="0" applyAlignment="1">
      <alignment horizontal="general" wrapText="1"/>
    </xf>
    <xf xfId="0" numFmtId="164" applyNumberFormat="1" borderId="0" fontId="0" fillId="0" applyAlignment="1">
      <alignment horizontal="general" wrapText="1"/>
    </xf>
    <xf xfId="0" numFmtId="0" borderId="0" fontId="0" fillId="0" applyAlignment="1">
      <alignment horizontal="general" wrapText="1"/>
    </xf>
    <xf xfId="0" numFmtId="0" borderId="0" fontId="0" fillId="0" applyAlignment="1">
      <alignment horizontal="general"/>
    </xf>
    <xf xfId="0" numFmtId="4" applyNumberFormat="1" borderId="0" fontId="0" fillId="0" applyAlignment="1">
      <alignment horizontal="general"/>
    </xf>
    <xf xfId="0" numFmtId="164" applyNumberFormat="1" borderId="0" fontId="0" fillId="0" applyAlignment="1">
      <alignment horizontal="general"/>
    </xf>
    <xf xfId="0" numFmtId="4" applyNumberFormat="1" borderId="3" applyBorder="1" fontId="2" applyFont="1" fillId="0" applyAlignment="1">
      <alignment horizontal="left"/>
    </xf>
    <xf xfId="0" numFmtId="164" applyNumberFormat="1" borderId="3" applyBorder="1" fontId="2" applyFont="1" fillId="0" applyAlignment="1">
      <alignment horizontal="left"/>
    </xf>
    <xf xfId="0" numFmtId="0" borderId="3" applyBorder="1" fontId="2" applyFont="1" fillId="0" applyAlignment="1">
      <alignment horizontal="left"/>
    </xf>
    <xf xfId="0" numFmtId="0" borderId="4" applyBorder="1" fontId="2" applyFont="1" fillId="0" applyAlignment="1">
      <alignment horizontal="left"/>
    </xf>
    <xf xfId="0" numFmtId="0" borderId="5" applyBorder="1" fontId="2" applyFont="1" fillId="0" applyAlignment="1">
      <alignment horizontal="left"/>
    </xf>
    <xf xfId="0" numFmtId="4" applyNumberFormat="1" borderId="6" applyBorder="1" fontId="2" applyFont="1" fillId="0" applyAlignment="1">
      <alignment horizontal="left"/>
    </xf>
    <xf xfId="0" numFmtId="164" applyNumberFormat="1" borderId="6" applyBorder="1" fontId="2" applyFont="1" fillId="0" applyAlignment="1">
      <alignment horizontal="left"/>
    </xf>
    <xf xfId="0" numFmtId="0" borderId="6" applyBorder="1" fontId="2" applyFont="1" fillId="0" applyAlignment="1">
      <alignment horizontal="left"/>
    </xf>
    <xf xfId="0" numFmtId="0" borderId="7" applyBorder="1" fontId="2" applyFont="1" fillId="0" applyAlignment="1">
      <alignment horizontal="left"/>
    </xf>
    <xf xfId="0" numFmtId="164" applyNumberFormat="1" borderId="2" applyBorder="1" fontId="4" applyFont="1" fillId="5" applyFill="1" applyAlignment="1">
      <alignment horizontal="center" wrapText="1"/>
    </xf>
    <xf xfId="0" numFmtId="164" applyNumberFormat="1" borderId="2" applyBorder="1" fontId="2" applyFont="1" fillId="0" applyAlignment="1">
      <alignment horizontal="center" wrapText="1"/>
    </xf>
    <xf xfId="0" numFmtId="0" borderId="0" fontId="0" fillId="0" applyAlignment="1">
      <alignment horizontal="general"/>
    </xf>
    <xf xfId="0" numFmtId="4" applyNumberFormat="1" borderId="0" fontId="0" fillId="0" applyAlignment="1">
      <alignment horizontal="general"/>
    </xf>
    <xf xfId="0" numFmtId="164" applyNumberFormat="1" borderId="0" fontId="0" fillId="0" applyAlignment="1">
      <alignment horizontal="general"/>
    </xf>
    <xf xfId="0" numFmtId="0" borderId="0" fontId="0" fillId="0" applyAlignment="1">
      <alignment horizontal="left" wrapText="1"/>
    </xf>
    <xf xfId="0" numFmtId="0" borderId="0" fontId="0" fillId="0" applyAlignment="1">
      <alignment horizontal="left" wrapText="1"/>
    </xf>
    <xf xfId="0" numFmtId="0" borderId="2" applyBorder="1" fontId="2" applyFont="1" fillId="0" applyAlignment="1">
      <alignment horizontal="left" vertical="top" wrapText="1"/>
    </xf>
    <xf xfId="0" numFmtId="3" applyNumberFormat="1" borderId="1" applyBorder="1" fontId="1" applyFont="1" fillId="2" applyFill="1" applyAlignment="1">
      <alignment horizontal="left" wrapText="1"/>
    </xf>
    <xf xfId="0" numFmtId="3" applyNumberFormat="1" borderId="1" applyBorder="1" fontId="2" applyFont="1" fillId="3" applyFill="1" applyAlignment="1">
      <alignment horizontal="left" wrapText="1"/>
    </xf>
    <xf xfId="0" numFmtId="3" applyNumberFormat="1" borderId="0" fontId="0" fillId="0" applyAlignment="1">
      <alignment horizontal="left" wrapText="1"/>
    </xf>
    <xf xfId="0" numFmtId="3" applyNumberFormat="1" borderId="2" applyBorder="1" fontId="4" applyFont="1" fillId="5" applyFill="1" applyAlignment="1">
      <alignment horizontal="center" wrapText="1"/>
    </xf>
    <xf xfId="0" numFmtId="3" applyNumberFormat="1" borderId="2" applyBorder="1" fontId="2" applyFont="1" fillId="0" applyAlignment="1">
      <alignment horizontal="left" wrapText="1"/>
    </xf>
    <xf xfId="0" numFmtId="3" applyNumberFormat="1" borderId="0" fontId="0" fillId="0" applyAlignment="1">
      <alignment horizontal="left" wrapText="1"/>
    </xf>
    <xf xfId="0" numFmtId="0" borderId="0" fontId="0" fillId="0" applyAlignment="1">
      <alignment horizontal="center"/>
    </xf>
    <xf xfId="0" numFmtId="4" applyNumberFormat="1" borderId="0" fontId="0" fillId="0" applyAlignment="1">
      <alignment horizontal="center"/>
    </xf>
    <xf xfId="0" numFmtId="0" borderId="2" applyBorder="1" fontId="2" applyFont="1" fillId="3" applyFill="1" applyAlignment="1">
      <alignment horizontal="left" vertical="top" wrapText="1"/>
    </xf>
    <xf xfId="0" numFmtId="0" borderId="0" fontId="0" fillId="0" applyAlignment="1">
      <alignment horizontal="center"/>
    </xf>
    <xf xfId="0" numFmtId="4" applyNumberFormat="1" borderId="0" fontId="0" fillId="0" applyAlignment="1">
      <alignment horizontal="center"/>
    </xf>
    <xf xfId="0" numFmtId="164" applyNumberFormat="1" borderId="0" fontId="0" fillId="0" applyAlignment="1">
      <alignment horizontal="center" wrapText="1"/>
    </xf>
    <xf xfId="0" numFmtId="164" applyNumberFormat="1" borderId="0" fontId="0" fillId="0" applyAlignment="1">
      <alignment horizontal="center" wrapText="1"/>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worksheets/sheet11.xml" Type="http://schemas.openxmlformats.org/officeDocument/2006/relationships/worksheet" Id="rId11"/><Relationship Target="worksheets/sheet12.xml" Type="http://schemas.openxmlformats.org/officeDocument/2006/relationships/worksheet" Id="rId12"/><Relationship Target="worksheets/sheet13.xml" Type="http://schemas.openxmlformats.org/officeDocument/2006/relationships/worksheet" Id="rId13"/><Relationship Target="worksheets/sheet14.xml" Type="http://schemas.openxmlformats.org/officeDocument/2006/relationships/worksheet" Id="rId14"/><Relationship Target="sharedStrings.xml" Type="http://schemas.openxmlformats.org/officeDocument/2006/relationships/sharedStrings" Id="rId15"/><Relationship Target="styles.xml" Type="http://schemas.openxmlformats.org/officeDocument/2006/relationships/styles" Id="rId16"/><Relationship Target="theme/theme1.xml" Type="http://schemas.openxmlformats.org/officeDocument/2006/relationships/theme" Id="rId17"/></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25"/>
  <sheetViews>
    <sheetView workbookViewId="0">
      <pane state="frozen" activePane="bottomLeft" topLeftCell="A4" ySplit="3" xSplit="0"/>
    </sheetView>
  </sheetViews>
  <sheetFormatPr defaultRowHeight="15" x14ac:dyDescent="0.25"/>
  <cols>
    <col min="1" max="1" style="37" width="24.005" customWidth="1" bestFit="1"/>
    <col min="2" max="2" style="37" width="16.005" customWidth="1" bestFit="1"/>
    <col min="3" max="3" style="37" width="16.005" customWidth="1" bestFit="1"/>
    <col min="4" max="4" style="37" width="16.005" customWidth="1" bestFit="1"/>
    <col min="5" max="5" style="37" width="28.005" customWidth="1" bestFit="1"/>
    <col min="6" max="6" style="37" width="18.005" customWidth="1" bestFit="1"/>
    <col min="7" max="7" style="37" width="18.005" customWidth="1" bestFit="1"/>
    <col min="8" max="8" style="37" width="18.005" customWidth="1" bestFit="1"/>
  </cols>
  <sheetData>
    <row x14ac:dyDescent="0.25" r="1" customHeight="1" ht="17.25" customFormat="1" s="1">
      <c r="A1" s="2" t="s">
        <v>82</v>
      </c>
      <c r="B1" s="22"/>
      <c r="C1" s="22"/>
      <c r="D1" s="22"/>
      <c r="E1" s="22"/>
      <c r="F1" s="22"/>
      <c r="G1" s="22"/>
      <c r="H1" s="22"/>
    </row>
    <row x14ac:dyDescent="0.25" r="2" customHeight="1" ht="17.25" customFormat="1" s="1">
      <c r="A2" s="5" t="s">
        <v>83</v>
      </c>
      <c r="B2" s="22"/>
      <c r="C2" s="22"/>
      <c r="D2" s="22"/>
      <c r="E2" s="22"/>
      <c r="F2" s="22"/>
      <c r="G2" s="22"/>
      <c r="H2" s="22"/>
    </row>
    <row x14ac:dyDescent="0.25" r="3" customHeight="1" ht="17.25">
      <c r="A3" s="23"/>
      <c r="B3" s="23"/>
      <c r="C3" s="23"/>
      <c r="D3" s="23"/>
      <c r="E3" s="23"/>
      <c r="F3" s="23"/>
      <c r="G3" s="23"/>
      <c r="H3" s="23"/>
    </row>
    <row x14ac:dyDescent="0.25" r="4" customHeight="1" ht="22.5">
      <c r="A4" s="7" t="s">
        <v>84</v>
      </c>
      <c r="B4" s="23"/>
      <c r="C4" s="23"/>
      <c r="D4" s="23"/>
      <c r="E4" s="23"/>
      <c r="F4" s="23"/>
      <c r="G4" s="23"/>
      <c r="H4" s="23"/>
    </row>
    <row x14ac:dyDescent="0.25" r="5" customHeight="1" ht="17.25">
      <c r="A5" s="51" t="s">
        <v>85</v>
      </c>
      <c r="B5" s="28"/>
      <c r="C5" s="28"/>
      <c r="D5" s="28"/>
      <c r="E5" s="28"/>
      <c r="F5" s="28"/>
      <c r="G5" s="28"/>
      <c r="H5" s="29"/>
    </row>
    <row x14ac:dyDescent="0.25" r="6" customHeight="1" ht="17.25">
      <c r="A6" s="30"/>
      <c r="B6" s="33"/>
      <c r="C6" s="33"/>
      <c r="D6" s="33"/>
      <c r="E6" s="33"/>
      <c r="F6" s="33"/>
      <c r="G6" s="33"/>
      <c r="H6" s="34"/>
    </row>
    <row x14ac:dyDescent="0.25" r="7" customHeight="1" ht="17.25">
      <c r="A7" s="23"/>
      <c r="B7" s="23"/>
      <c r="C7" s="23"/>
      <c r="D7" s="23"/>
      <c r="E7" s="23"/>
      <c r="F7" s="23"/>
      <c r="G7" s="23"/>
      <c r="H7" s="23"/>
    </row>
    <row x14ac:dyDescent="0.25" r="8" customHeight="1" ht="22.5">
      <c r="A8" s="7" t="s">
        <v>86</v>
      </c>
      <c r="B8" s="23"/>
      <c r="C8" s="23"/>
      <c r="D8" s="23"/>
      <c r="E8" s="23"/>
      <c r="F8" s="23"/>
      <c r="G8" s="23"/>
      <c r="H8" s="23"/>
    </row>
    <row x14ac:dyDescent="0.25" r="9" customHeight="1" ht="17.25">
      <c r="A9" s="42" t="s">
        <v>87</v>
      </c>
      <c r="B9" s="28"/>
      <c r="C9" s="28"/>
      <c r="D9" s="28"/>
      <c r="E9" s="28"/>
      <c r="F9" s="28"/>
      <c r="G9" s="28"/>
      <c r="H9" s="29"/>
    </row>
    <row x14ac:dyDescent="0.25" r="10" customHeight="1" ht="17.25">
      <c r="A10" s="30"/>
      <c r="B10" s="33"/>
      <c r="C10" s="33"/>
      <c r="D10" s="33"/>
      <c r="E10" s="33"/>
      <c r="F10" s="33"/>
      <c r="G10" s="33"/>
      <c r="H10" s="34"/>
    </row>
    <row x14ac:dyDescent="0.25" r="11" customHeight="1" ht="17.25">
      <c r="A11" s="23"/>
      <c r="B11" s="23"/>
      <c r="C11" s="23"/>
      <c r="D11" s="23"/>
      <c r="E11" s="23"/>
      <c r="F11" s="23"/>
      <c r="G11" s="23"/>
      <c r="H11" s="23"/>
    </row>
    <row x14ac:dyDescent="0.25" r="12" customHeight="1" ht="22.5">
      <c r="A12" s="7" t="s">
        <v>88</v>
      </c>
      <c r="B12" s="23"/>
      <c r="C12" s="23"/>
      <c r="D12" s="23"/>
      <c r="E12" s="23"/>
      <c r="F12" s="23"/>
      <c r="G12" s="23"/>
      <c r="H12" s="23"/>
    </row>
    <row x14ac:dyDescent="0.25" r="13" customHeight="1" ht="30.75" customFormat="1" s="1">
      <c r="A13" s="8" t="s">
        <v>89</v>
      </c>
      <c r="B13" s="8" t="s">
        <v>9</v>
      </c>
      <c r="C13" s="8" t="s">
        <v>90</v>
      </c>
      <c r="D13" s="8" t="s">
        <v>91</v>
      </c>
      <c r="E13" s="8" t="s">
        <v>92</v>
      </c>
      <c r="F13" s="22"/>
      <c r="G13" s="22"/>
      <c r="H13" s="22"/>
    </row>
    <row x14ac:dyDescent="0.25" r="14" customHeight="1" ht="20.25" customFormat="1" s="1">
      <c r="A14" s="10" t="s">
        <v>93</v>
      </c>
      <c r="B14" s="12">
        <f>RAW_00_overview!B14</f>
      </c>
      <c r="C14" s="12">
        <f>RAW_00_overview!C14</f>
      </c>
      <c r="D14" s="36">
        <f>B14/C14-1</f>
      </c>
      <c r="E14" s="11" t="s">
        <v>94</v>
      </c>
      <c r="F14" s="22"/>
      <c r="G14" s="22"/>
      <c r="H14" s="22"/>
    </row>
    <row x14ac:dyDescent="0.25" r="15" customHeight="1" ht="20.25" customFormat="1" s="1">
      <c r="A15" s="10" t="s">
        <v>95</v>
      </c>
      <c r="B15" s="12">
        <f>RAW_00_overview!B15</f>
      </c>
      <c r="C15" s="12">
        <f>RAW_00_overview!C15</f>
      </c>
      <c r="D15" s="36">
        <f>B15/C15-1</f>
      </c>
      <c r="E15" s="11" t="s">
        <v>96</v>
      </c>
      <c r="F15" s="22"/>
      <c r="G15" s="22"/>
      <c r="H15" s="22"/>
    </row>
    <row x14ac:dyDescent="0.25" r="16" customHeight="1" ht="20.25" customFormat="1" s="1">
      <c r="A16" s="10" t="s">
        <v>97</v>
      </c>
      <c r="B16" s="12">
        <f>RAW_00_overview!B16</f>
      </c>
      <c r="C16" s="12">
        <f>RAW_00_overview!C16</f>
      </c>
      <c r="D16" s="36">
        <f>B16/C16-1</f>
      </c>
      <c r="E16" s="11" t="s">
        <v>98</v>
      </c>
      <c r="F16" s="22"/>
      <c r="G16" s="22"/>
      <c r="H16" s="22"/>
    </row>
    <row x14ac:dyDescent="0.25" r="17" customHeight="1" ht="20.25" customFormat="1" s="1">
      <c r="A17" s="10" t="s">
        <v>99</v>
      </c>
      <c r="B17" s="12">
        <f>RAW_00_overview!B17</f>
      </c>
      <c r="C17" s="12">
        <f>RAW_00_overview!C17</f>
      </c>
      <c r="D17" s="12">
        <f>B17/C17</f>
      </c>
      <c r="E17" s="11" t="s">
        <v>100</v>
      </c>
      <c r="F17" s="22"/>
      <c r="G17" s="22"/>
      <c r="H17" s="22"/>
    </row>
    <row x14ac:dyDescent="0.25" r="18" customHeight="1" ht="33.75" customFormat="1" s="1">
      <c r="A18" s="10" t="s">
        <v>101</v>
      </c>
      <c r="B18" s="12">
        <f>RAW_00_overview!B18</f>
      </c>
      <c r="C18" s="12">
        <f>RAW_00_overview!C18</f>
      </c>
      <c r="D18" s="11"/>
      <c r="E18" s="11" t="s">
        <v>102</v>
      </c>
      <c r="F18" s="22"/>
      <c r="G18" s="22"/>
      <c r="H18" s="22"/>
    </row>
    <row x14ac:dyDescent="0.25" r="19" customHeight="1" ht="20.25" customFormat="1" s="1">
      <c r="A19" s="10" t="s">
        <v>103</v>
      </c>
      <c r="B19" s="12">
        <f>RAW_00_overview!B19</f>
      </c>
      <c r="C19" s="12">
        <f>RAW_00_overview!C19</f>
      </c>
      <c r="D19" s="36">
        <f>B19/C19</f>
      </c>
      <c r="E19" s="11" t="s">
        <v>104</v>
      </c>
      <c r="F19" s="22"/>
      <c r="G19" s="22"/>
      <c r="H19" s="22"/>
    </row>
    <row x14ac:dyDescent="0.25" r="20" customHeight="1" ht="20.25" customFormat="1" s="1">
      <c r="A20" s="10" t="s">
        <v>105</v>
      </c>
      <c r="B20" s="12">
        <f>RAW_00_overview!B20</f>
      </c>
      <c r="C20" s="12">
        <f>RAW_00_overview!C20</f>
      </c>
      <c r="D20" s="36">
        <f>B20/C20</f>
      </c>
      <c r="E20" s="11" t="s">
        <v>106</v>
      </c>
      <c r="F20" s="22"/>
      <c r="G20" s="22"/>
      <c r="H20" s="22"/>
    </row>
    <row x14ac:dyDescent="0.25" r="21" customHeight="1" ht="21" customFormat="1" s="1">
      <c r="A21" s="10" t="s">
        <v>107</v>
      </c>
      <c r="B21" s="12">
        <f>RAW_00_overview!B21</f>
      </c>
      <c r="C21" s="12">
        <f>RAW_00_overview!C21</f>
      </c>
      <c r="D21" s="36">
        <f>B21/C21</f>
      </c>
      <c r="E21" s="11" t="s">
        <v>108</v>
      </c>
      <c r="F21" s="22"/>
      <c r="G21" s="22"/>
      <c r="H21" s="22"/>
    </row>
    <row x14ac:dyDescent="0.25" r="22" customHeight="1" ht="17.25">
      <c r="A22" s="23"/>
      <c r="B22" s="23"/>
      <c r="C22" s="23"/>
      <c r="D22" s="23"/>
      <c r="E22" s="23"/>
      <c r="F22" s="23"/>
      <c r="G22" s="23"/>
      <c r="H22" s="23"/>
    </row>
    <row x14ac:dyDescent="0.25" r="23" customHeight="1" ht="22.5">
      <c r="A23" s="7" t="s">
        <v>109</v>
      </c>
      <c r="B23" s="23"/>
      <c r="C23" s="23"/>
      <c r="D23" s="23"/>
      <c r="E23" s="23"/>
      <c r="F23" s="23"/>
      <c r="G23" s="23"/>
      <c r="H23" s="23"/>
    </row>
    <row x14ac:dyDescent="0.25" r="24" customHeight="1" ht="17.25">
      <c r="A24" s="42" t="s">
        <v>110</v>
      </c>
      <c r="B24" s="28"/>
      <c r="C24" s="28"/>
      <c r="D24" s="28"/>
      <c r="E24" s="28"/>
      <c r="F24" s="28"/>
      <c r="G24" s="28"/>
      <c r="H24" s="29"/>
    </row>
    <row x14ac:dyDescent="0.25" r="25" customHeight="1" ht="17.25">
      <c r="A25" s="30"/>
      <c r="B25" s="33"/>
      <c r="C25" s="33"/>
      <c r="D25" s="33"/>
      <c r="E25" s="33"/>
      <c r="F25" s="33"/>
      <c r="G25" s="33"/>
      <c r="H25" s="34"/>
    </row>
  </sheetData>
  <mergeCells count="5">
    <mergeCell ref="A1:H1"/>
    <mergeCell ref="A2:H2"/>
    <mergeCell ref="A5:H6"/>
    <mergeCell ref="A9:H10"/>
    <mergeCell ref="A24:H2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7"/>
  <sheetViews>
    <sheetView workbookViewId="0">
      <pane state="frozen" activePane="bottomLeft" topLeftCell="A4" ySplit="3" xSplit="0"/>
    </sheetView>
  </sheetViews>
  <sheetFormatPr defaultRowHeight="15" x14ac:dyDescent="0.25"/>
  <cols>
    <col min="1" max="1" style="41" width="12.005" customWidth="1" bestFit="1"/>
    <col min="2" max="2" style="41" width="24.005" customWidth="1" bestFit="1"/>
    <col min="3" max="3" style="15" width="16.005" customWidth="1" bestFit="1"/>
    <col min="4" max="4" style="15" width="16.005" customWidth="1" bestFit="1"/>
    <col min="5" max="5" style="15" width="14.005" customWidth="1" bestFit="1"/>
    <col min="6" max="6" style="14" width="10.005" customWidth="1" bestFit="1"/>
    <col min="7" max="7" style="41" width="22.005" customWidth="1" bestFit="1"/>
    <col min="8" max="8" style="56" width="12.43357142857143" customWidth="1" bestFit="1"/>
  </cols>
  <sheetData>
    <row x14ac:dyDescent="0.25" r="1" customHeight="1" ht="17.25" customFormat="1" s="1">
      <c r="A1" s="2" t="s">
        <v>384</v>
      </c>
      <c r="B1" s="40"/>
      <c r="C1" s="4"/>
      <c r="D1" s="4"/>
      <c r="E1" s="4"/>
      <c r="F1" s="3"/>
      <c r="G1" s="40"/>
      <c r="H1" s="22"/>
    </row>
    <row x14ac:dyDescent="0.25" r="2" customHeight="1" ht="17.25" customFormat="1" s="1">
      <c r="A2" s="5" t="s">
        <v>385</v>
      </c>
      <c r="B2" s="40"/>
      <c r="C2" s="4"/>
      <c r="D2" s="4"/>
      <c r="E2" s="4"/>
      <c r="F2" s="3"/>
      <c r="G2" s="40"/>
      <c r="H2" s="22"/>
    </row>
    <row x14ac:dyDescent="0.25" r="3" customHeight="1" ht="17.25">
      <c r="A3" s="40"/>
      <c r="B3" s="40"/>
      <c r="C3" s="4"/>
      <c r="D3" s="4"/>
      <c r="E3" s="4"/>
      <c r="F3" s="3"/>
      <c r="G3" s="40"/>
      <c r="H3" s="22"/>
    </row>
    <row x14ac:dyDescent="0.25" r="4" customHeight="1" ht="17.25" customFormat="1" s="1">
      <c r="A4" s="8" t="s">
        <v>386</v>
      </c>
      <c r="B4" s="8" t="s">
        <v>89</v>
      </c>
      <c r="C4" s="9" t="s">
        <v>9</v>
      </c>
      <c r="D4" s="9" t="s">
        <v>90</v>
      </c>
      <c r="E4" s="9" t="s">
        <v>387</v>
      </c>
      <c r="F4" s="8" t="s">
        <v>6</v>
      </c>
      <c r="G4" s="8" t="s">
        <v>388</v>
      </c>
      <c r="H4" s="8"/>
    </row>
    <row x14ac:dyDescent="0.25" r="5" customHeight="1" ht="17.25" customFormat="1" s="1">
      <c r="A5" s="10" t="s">
        <v>389</v>
      </c>
      <c r="B5" s="10" t="s">
        <v>356</v>
      </c>
      <c r="C5" s="12">
        <v>1053.2330440914</v>
      </c>
      <c r="D5" s="12">
        <v>1427.787640798</v>
      </c>
      <c r="E5" s="12">
        <v>-0.2623321466049804</v>
      </c>
      <c r="F5" s="11" t="s">
        <v>10</v>
      </c>
      <c r="G5" s="10" t="s">
        <v>390</v>
      </c>
      <c r="H5" s="22"/>
    </row>
    <row x14ac:dyDescent="0.25" r="6" customHeight="1" ht="17.25" customFormat="1" s="1">
      <c r="A6" s="10" t="s">
        <v>389</v>
      </c>
      <c r="B6" s="10" t="s">
        <v>363</v>
      </c>
      <c r="C6" s="12">
        <v>-119.4657368812</v>
      </c>
      <c r="D6" s="12">
        <v>-98.5249959884</v>
      </c>
      <c r="E6" s="12">
        <v>-0.2125424181216459</v>
      </c>
      <c r="F6" s="11" t="s">
        <v>10</v>
      </c>
      <c r="G6" s="10" t="s">
        <v>96</v>
      </c>
      <c r="H6" s="22"/>
    </row>
    <row x14ac:dyDescent="0.25" r="7" customHeight="1" ht="17.25" customFormat="1" s="1">
      <c r="A7" s="10" t="s">
        <v>389</v>
      </c>
      <c r="B7" s="10" t="s">
        <v>368</v>
      </c>
      <c r="C7" s="36">
        <v>-0.0607</v>
      </c>
      <c r="D7" s="36"/>
      <c r="E7" s="12"/>
      <c r="F7" s="11" t="s">
        <v>70</v>
      </c>
      <c r="G7" s="10" t="s">
        <v>391</v>
      </c>
      <c r="H7" s="22"/>
    </row>
    <row x14ac:dyDescent="0.25" r="8" customHeight="1" ht="17.25" customFormat="1" s="1">
      <c r="A8" s="10" t="s">
        <v>392</v>
      </c>
      <c r="B8" s="10" t="s">
        <v>393</v>
      </c>
      <c r="C8" s="12">
        <v>-30.3870459278</v>
      </c>
      <c r="D8" s="12">
        <v>-51.763258111</v>
      </c>
      <c r="E8" s="12">
        <v>0.4129611033633416</v>
      </c>
      <c r="F8" s="11" t="s">
        <v>10</v>
      </c>
      <c r="G8" s="10" t="s">
        <v>98</v>
      </c>
      <c r="H8" s="22"/>
    </row>
    <row x14ac:dyDescent="0.25" r="9" customHeight="1" ht="17.25" customFormat="1" s="1">
      <c r="A9" s="10" t="s">
        <v>394</v>
      </c>
      <c r="B9" s="10" t="s">
        <v>340</v>
      </c>
      <c r="C9" s="12">
        <v>693.4756277666</v>
      </c>
      <c r="D9" s="12">
        <v>740.0226377873</v>
      </c>
      <c r="E9" s="12">
        <v>0.514779700323822</v>
      </c>
      <c r="F9" s="11" t="s">
        <v>395</v>
      </c>
      <c r="G9" s="10" t="s">
        <v>396</v>
      </c>
      <c r="H9" s="22"/>
    </row>
    <row x14ac:dyDescent="0.25" r="10" customHeight="1" ht="17.25" customFormat="1" s="1">
      <c r="A10" s="10" t="s">
        <v>394</v>
      </c>
      <c r="B10" s="10" t="s">
        <v>342</v>
      </c>
      <c r="C10" s="12">
        <v>1347.1308742951</v>
      </c>
      <c r="D10" s="12">
        <v>1460.4556838992</v>
      </c>
      <c r="E10" s="12"/>
      <c r="F10" s="11" t="s">
        <v>10</v>
      </c>
      <c r="G10" s="10" t="s">
        <v>397</v>
      </c>
      <c r="H10" s="22"/>
    </row>
    <row x14ac:dyDescent="0.25" r="11" customHeight="1" ht="17.25" customFormat="1" s="1">
      <c r="A11" s="10" t="s">
        <v>398</v>
      </c>
      <c r="B11" s="10" t="s">
        <v>399</v>
      </c>
      <c r="C11" s="36">
        <v>0.019</v>
      </c>
      <c r="D11" s="36"/>
      <c r="E11" s="12"/>
      <c r="F11" s="11" t="s">
        <v>70</v>
      </c>
      <c r="G11" s="10" t="s">
        <v>400</v>
      </c>
      <c r="H11" s="22"/>
    </row>
    <row x14ac:dyDescent="0.25" r="12" customHeight="1" ht="17.25" customFormat="1" s="1">
      <c r="A12" s="10" t="s">
        <v>398</v>
      </c>
      <c r="B12" s="10" t="s">
        <v>401</v>
      </c>
      <c r="C12" s="36">
        <v>0.02644189706589304</v>
      </c>
      <c r="D12" s="36"/>
      <c r="E12" s="12"/>
      <c r="F12" s="11" t="s">
        <v>70</v>
      </c>
      <c r="G12" s="10" t="s">
        <v>402</v>
      </c>
      <c r="H12" s="22"/>
    </row>
    <row x14ac:dyDescent="0.25" r="13" customHeight="1" ht="17.25" customFormat="1" s="1">
      <c r="A13" s="10" t="s">
        <v>398</v>
      </c>
      <c r="B13" s="10" t="s">
        <v>68</v>
      </c>
      <c r="C13" s="36">
        <v>0.05288379413178607</v>
      </c>
      <c r="D13" s="36"/>
      <c r="E13" s="12"/>
      <c r="F13" s="11" t="s">
        <v>70</v>
      </c>
      <c r="G13" s="10" t="s">
        <v>403</v>
      </c>
      <c r="H13" s="22"/>
    </row>
    <row x14ac:dyDescent="0.25" r="14" customHeight="1" ht="17.25" customFormat="1" s="1">
      <c r="A14" s="10" t="s">
        <v>404</v>
      </c>
      <c r="B14" s="10" t="s">
        <v>314</v>
      </c>
      <c r="C14" s="12">
        <v>2152.5981990802</v>
      </c>
      <c r="D14" s="12">
        <v>2213.595907895</v>
      </c>
      <c r="E14" s="12">
        <v>0.1158983427288391</v>
      </c>
      <c r="F14" s="11" t="s">
        <v>10</v>
      </c>
      <c r="G14" s="10" t="s">
        <v>405</v>
      </c>
      <c r="H14" s="22"/>
    </row>
    <row x14ac:dyDescent="0.25" r="15" customHeight="1" ht="17.25" customFormat="1" s="1">
      <c r="A15" s="10" t="s">
        <v>404</v>
      </c>
      <c r="B15" s="10" t="s">
        <v>320</v>
      </c>
      <c r="C15" s="12">
        <v>4625.1854059268</v>
      </c>
      <c r="D15" s="12">
        <v>5190.0943984678</v>
      </c>
      <c r="E15" s="12">
        <v>0.03295181655911592</v>
      </c>
      <c r="F15" s="11" t="s">
        <v>10</v>
      </c>
      <c r="G15" s="10" t="s">
        <v>406</v>
      </c>
      <c r="H15" s="22"/>
    </row>
    <row x14ac:dyDescent="0.25" r="16" customHeight="1" ht="17.25" customFormat="1" s="1">
      <c r="A16" s="10" t="s">
        <v>404</v>
      </c>
      <c r="B16" s="10" t="s">
        <v>324</v>
      </c>
      <c r="C16" s="12">
        <v>1373.625423372</v>
      </c>
      <c r="D16" s="12">
        <v>1410.5736917498</v>
      </c>
      <c r="E16" s="12">
        <v>0.5827353626806181</v>
      </c>
      <c r="F16" s="11" t="s">
        <v>10</v>
      </c>
      <c r="G16" s="10" t="s">
        <v>407</v>
      </c>
      <c r="H16" s="22"/>
    </row>
    <row x14ac:dyDescent="0.25" r="17" customHeight="1" ht="17.25" customFormat="1" s="1">
      <c r="A17" s="10" t="s">
        <v>404</v>
      </c>
      <c r="B17" s="10" t="s">
        <v>328</v>
      </c>
      <c r="C17" s="12">
        <v>1580.0311617993</v>
      </c>
      <c r="D17" s="12">
        <v>1923.6111255718</v>
      </c>
      <c r="E17" s="12">
        <v>0.445826569081096</v>
      </c>
      <c r="F17" s="11" t="s">
        <v>10</v>
      </c>
      <c r="G17" s="10" t="s">
        <v>408</v>
      </c>
      <c r="H17" s="22"/>
    </row>
  </sheetData>
  <mergeCells count="2">
    <mergeCell ref="A1:H1"/>
    <mergeCell ref="A2:H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25"/>
  <sheetViews>
    <sheetView workbookViewId="0" tabSelected="1">
      <pane state="frozen" activePane="bottomLeft" topLeftCell="A4" ySplit="3" xSplit="0"/>
    </sheetView>
  </sheetViews>
  <sheetFormatPr defaultRowHeight="15" x14ac:dyDescent="0.25"/>
  <cols>
    <col min="1" max="1" style="13" width="24.005" customWidth="1" bestFit="1"/>
    <col min="2" max="2" style="14" width="14.005" customWidth="1" bestFit="1"/>
    <col min="3" max="3" style="55" width="16.005" customWidth="1" bestFit="1"/>
    <col min="4" max="4" style="14" width="10.005" customWidth="1" bestFit="1"/>
    <col min="5" max="5" style="14" width="28.005" customWidth="1" bestFit="1"/>
    <col min="6" max="6" style="37" width="12.43357142857143" customWidth="1" bestFit="1"/>
    <col min="7" max="7" style="37" width="12.43357142857143" customWidth="1" bestFit="1"/>
    <col min="8" max="8" style="37" width="12.43357142857143" customWidth="1" bestFit="1"/>
  </cols>
  <sheetData>
    <row x14ac:dyDescent="0.25" r="1" customHeight="1" ht="17.25" customFormat="1" s="1">
      <c r="A1" s="2" t="s">
        <v>353</v>
      </c>
      <c r="B1" s="3"/>
      <c r="C1" s="54"/>
      <c r="D1" s="3"/>
      <c r="E1" s="3"/>
      <c r="F1" s="22"/>
      <c r="G1" s="22"/>
      <c r="H1" s="22"/>
    </row>
    <row x14ac:dyDescent="0.25" r="2" customHeight="1" ht="17.25" customFormat="1" s="1">
      <c r="A2" s="5" t="s">
        <v>354</v>
      </c>
      <c r="B2" s="3"/>
      <c r="C2" s="54"/>
      <c r="D2" s="3"/>
      <c r="E2" s="3"/>
      <c r="F2" s="22"/>
      <c r="G2" s="22"/>
      <c r="H2" s="22"/>
    </row>
    <row x14ac:dyDescent="0.25" r="3" customHeight="1" ht="17.25">
      <c r="A3" s="6"/>
      <c r="B3" s="3"/>
      <c r="C3" s="54"/>
      <c r="D3" s="3"/>
      <c r="E3" s="3"/>
      <c r="F3" s="23"/>
      <c r="G3" s="23"/>
      <c r="H3" s="23"/>
    </row>
    <row x14ac:dyDescent="0.25" r="4" customHeight="1" ht="17.25">
      <c r="A4" s="7" t="s">
        <v>355</v>
      </c>
      <c r="B4" s="3"/>
      <c r="C4" s="54"/>
      <c r="D4" s="3"/>
      <c r="E4" s="3"/>
      <c r="F4" s="23"/>
      <c r="G4" s="23"/>
      <c r="H4" s="23"/>
    </row>
    <row x14ac:dyDescent="0.25" r="5" customHeight="1" ht="17.25" customFormat="1" s="1">
      <c r="A5" s="8" t="s">
        <v>3</v>
      </c>
      <c r="B5" s="8" t="s">
        <v>4</v>
      </c>
      <c r="C5" s="35" t="s">
        <v>5</v>
      </c>
      <c r="D5" s="8" t="s">
        <v>6</v>
      </c>
      <c r="E5" s="8" t="s">
        <v>7</v>
      </c>
      <c r="F5" s="22"/>
      <c r="G5" s="22"/>
      <c r="H5" s="22"/>
    </row>
    <row x14ac:dyDescent="0.25" r="6" customHeight="1" ht="17.25" customFormat="1" s="1">
      <c r="A6" s="10" t="s">
        <v>356</v>
      </c>
      <c r="B6" s="11" t="s">
        <v>9</v>
      </c>
      <c r="C6" s="12">
        <v>1053.2330440914</v>
      </c>
      <c r="D6" s="11" t="s">
        <v>10</v>
      </c>
      <c r="E6" s="11" t="s">
        <v>357</v>
      </c>
      <c r="F6" s="22"/>
      <c r="G6" s="22"/>
      <c r="H6" s="22"/>
    </row>
    <row x14ac:dyDescent="0.25" r="7" customHeight="1" ht="17.25" customFormat="1" s="1">
      <c r="A7" s="10" t="s">
        <v>358</v>
      </c>
      <c r="B7" s="11" t="s">
        <v>9</v>
      </c>
      <c r="C7" s="12">
        <v>-5.6798009753</v>
      </c>
      <c r="D7" s="11" t="s">
        <v>10</v>
      </c>
      <c r="E7" s="11" t="s">
        <v>359</v>
      </c>
      <c r="F7" s="22"/>
      <c r="G7" s="22"/>
      <c r="H7" s="22"/>
    </row>
    <row x14ac:dyDescent="0.25" r="8" customHeight="1" ht="17.25" customFormat="1" s="1">
      <c r="A8" s="10" t="s">
        <v>360</v>
      </c>
      <c r="B8" s="11" t="s">
        <v>9</v>
      </c>
      <c r="C8" s="12">
        <v>8.816193425724764</v>
      </c>
      <c r="D8" s="11" t="s">
        <v>361</v>
      </c>
      <c r="E8" s="11" t="s">
        <v>362</v>
      </c>
      <c r="F8" s="22"/>
      <c r="G8" s="22"/>
      <c r="H8" s="22"/>
    </row>
    <row x14ac:dyDescent="0.25" r="9" customHeight="1" ht="17.25" customFormat="1" s="1">
      <c r="A9" s="10" t="s">
        <v>363</v>
      </c>
      <c r="B9" s="11" t="s">
        <v>9</v>
      </c>
      <c r="C9" s="12">
        <v>-119.4657368812</v>
      </c>
      <c r="D9" s="11" t="s">
        <v>10</v>
      </c>
      <c r="E9" s="11" t="s">
        <v>364</v>
      </c>
      <c r="F9" s="22"/>
      <c r="G9" s="22"/>
      <c r="H9" s="22"/>
    </row>
    <row x14ac:dyDescent="0.25" r="10" customHeight="1" ht="17.25" customFormat="1" s="1">
      <c r="A10" s="10" t="s">
        <v>365</v>
      </c>
      <c r="B10" s="11" t="s">
        <v>9</v>
      </c>
      <c r="C10" s="12">
        <v>-1.01</v>
      </c>
      <c r="D10" s="11" t="s">
        <v>366</v>
      </c>
      <c r="E10" s="11" t="s">
        <v>367</v>
      </c>
      <c r="F10" s="22"/>
      <c r="G10" s="22"/>
      <c r="H10" s="22"/>
    </row>
    <row x14ac:dyDescent="0.25" r="11" customHeight="1" ht="17.25" customFormat="1" s="1">
      <c r="A11" s="10" t="s">
        <v>368</v>
      </c>
      <c r="B11" s="11" t="s">
        <v>9</v>
      </c>
      <c r="C11" s="36">
        <v>-0.0607</v>
      </c>
      <c r="D11" s="11" t="s">
        <v>70</v>
      </c>
      <c r="E11" s="11" t="s">
        <v>367</v>
      </c>
      <c r="F11" s="22"/>
      <c r="G11" s="22"/>
      <c r="H11" s="22"/>
    </row>
    <row x14ac:dyDescent="0.25" r="12" customHeight="1" ht="17.25">
      <c r="A12" s="6"/>
      <c r="B12" s="3"/>
      <c r="C12" s="54"/>
      <c r="D12" s="3"/>
      <c r="E12" s="3"/>
      <c r="F12" s="23"/>
      <c r="G12" s="23"/>
      <c r="H12" s="23"/>
    </row>
    <row x14ac:dyDescent="0.25" r="13" customHeight="1" ht="17.25">
      <c r="A13" s="7" t="s">
        <v>369</v>
      </c>
      <c r="B13" s="3"/>
      <c r="C13" s="54"/>
      <c r="D13" s="3"/>
      <c r="E13" s="3"/>
      <c r="F13" s="23"/>
      <c r="G13" s="23"/>
      <c r="H13" s="23"/>
    </row>
    <row x14ac:dyDescent="0.25" r="14" customHeight="1" ht="17.25" customFormat="1" s="1">
      <c r="A14" s="8" t="s">
        <v>3</v>
      </c>
      <c r="B14" s="8" t="s">
        <v>4</v>
      </c>
      <c r="C14" s="35" t="s">
        <v>5</v>
      </c>
      <c r="D14" s="8" t="s">
        <v>6</v>
      </c>
      <c r="E14" s="8" t="s">
        <v>7</v>
      </c>
      <c r="F14" s="22"/>
      <c r="G14" s="22"/>
      <c r="H14" s="22"/>
    </row>
    <row x14ac:dyDescent="0.25" r="15" customHeight="1" ht="17.25" customFormat="1" s="1">
      <c r="A15" s="10" t="s">
        <v>18</v>
      </c>
      <c r="B15" s="11" t="s">
        <v>9</v>
      </c>
      <c r="C15" s="12">
        <v>-30.3870459278</v>
      </c>
      <c r="D15" s="11" t="s">
        <v>10</v>
      </c>
      <c r="E15" s="11" t="s">
        <v>98</v>
      </c>
      <c r="F15" s="22"/>
      <c r="G15" s="22"/>
      <c r="H15" s="22"/>
    </row>
    <row x14ac:dyDescent="0.25" r="16" customHeight="1" ht="17.25" customFormat="1" s="1">
      <c r="A16" s="10" t="s">
        <v>370</v>
      </c>
      <c r="B16" s="11" t="s">
        <v>9</v>
      </c>
      <c r="C16" s="12">
        <v>1.6270308219</v>
      </c>
      <c r="D16" s="11" t="s">
        <v>10</v>
      </c>
      <c r="E16" s="11" t="s">
        <v>371</v>
      </c>
      <c r="F16" s="22"/>
      <c r="G16" s="22"/>
      <c r="H16" s="22"/>
    </row>
    <row x14ac:dyDescent="0.25" r="17" customHeight="1" ht="17.25" customFormat="1" s="1">
      <c r="A17" s="10" t="s">
        <v>372</v>
      </c>
      <c r="B17" s="11" t="s">
        <v>9</v>
      </c>
      <c r="C17" s="12">
        <v>3.4169677678</v>
      </c>
      <c r="D17" s="11" t="s">
        <v>10</v>
      </c>
      <c r="E17" s="11" t="s">
        <v>373</v>
      </c>
      <c r="F17" s="22"/>
      <c r="G17" s="22"/>
      <c r="H17" s="22"/>
    </row>
    <row x14ac:dyDescent="0.25" r="18" customHeight="1" ht="17.25" customFormat="1" s="1">
      <c r="A18" s="10" t="s">
        <v>374</v>
      </c>
      <c r="B18" s="11" t="s">
        <v>9</v>
      </c>
      <c r="C18" s="12">
        <v>1.465874547</v>
      </c>
      <c r="D18" s="11" t="s">
        <v>10</v>
      </c>
      <c r="E18" s="11" t="s">
        <v>375</v>
      </c>
      <c r="F18" s="22"/>
      <c r="G18" s="22"/>
      <c r="H18" s="22"/>
    </row>
    <row x14ac:dyDescent="0.25" r="19" customHeight="1" ht="17.25">
      <c r="A19" s="6"/>
      <c r="B19" s="3"/>
      <c r="C19" s="54"/>
      <c r="D19" s="3"/>
      <c r="E19" s="3"/>
      <c r="F19" s="23"/>
      <c r="G19" s="23"/>
      <c r="H19" s="23"/>
    </row>
    <row x14ac:dyDescent="0.25" r="20" customHeight="1" ht="17.25">
      <c r="A20" s="7" t="s">
        <v>376</v>
      </c>
      <c r="B20" s="3"/>
      <c r="C20" s="54"/>
      <c r="D20" s="3"/>
      <c r="E20" s="3"/>
      <c r="F20" s="23"/>
      <c r="G20" s="23"/>
      <c r="H20" s="23"/>
    </row>
    <row x14ac:dyDescent="0.25" r="21" customHeight="1" ht="17.25" customFormat="1" s="1">
      <c r="A21" s="8" t="s">
        <v>3</v>
      </c>
      <c r="B21" s="8" t="s">
        <v>4</v>
      </c>
      <c r="C21" s="35" t="s">
        <v>5</v>
      </c>
      <c r="D21" s="8" t="s">
        <v>6</v>
      </c>
      <c r="E21" s="8" t="s">
        <v>7</v>
      </c>
      <c r="F21" s="22"/>
      <c r="G21" s="22"/>
      <c r="H21" s="22"/>
    </row>
    <row x14ac:dyDescent="0.25" r="22" customHeight="1" ht="17.25" customFormat="1" s="1">
      <c r="A22" s="10" t="s">
        <v>377</v>
      </c>
      <c r="B22" s="11" t="s">
        <v>9</v>
      </c>
      <c r="C22" s="12">
        <v>11941.4887477455</v>
      </c>
      <c r="D22" s="11" t="s">
        <v>10</v>
      </c>
      <c r="E22" s="11" t="s">
        <v>378</v>
      </c>
      <c r="F22" s="22"/>
      <c r="G22" s="22"/>
      <c r="H22" s="22"/>
    </row>
    <row x14ac:dyDescent="0.25" r="23" customHeight="1" ht="17.25" customFormat="1" s="1">
      <c r="A23" s="10" t="s">
        <v>379</v>
      </c>
      <c r="B23" s="11" t="s">
        <v>9</v>
      </c>
      <c r="C23" s="12">
        <v>8729.8833181349</v>
      </c>
      <c r="D23" s="11" t="s">
        <v>10</v>
      </c>
      <c r="E23" s="11" t="s">
        <v>380</v>
      </c>
      <c r="F23" s="22"/>
      <c r="G23" s="22"/>
      <c r="H23" s="22"/>
    </row>
    <row x14ac:dyDescent="0.25" r="24" customHeight="1" ht="17.25" customFormat="1" s="1">
      <c r="A24" s="10" t="s">
        <v>73</v>
      </c>
      <c r="B24" s="11" t="s">
        <v>9</v>
      </c>
      <c r="C24" s="12">
        <v>1914.4081571619</v>
      </c>
      <c r="D24" s="11" t="s">
        <v>10</v>
      </c>
      <c r="E24" s="11" t="s">
        <v>381</v>
      </c>
      <c r="F24" s="22"/>
      <c r="G24" s="22"/>
      <c r="H24" s="22"/>
    </row>
    <row x14ac:dyDescent="0.25" r="25" customHeight="1" ht="17.25" customFormat="1" s="1">
      <c r="A25" s="10" t="s">
        <v>382</v>
      </c>
      <c r="B25" s="11" t="s">
        <v>9</v>
      </c>
      <c r="C25" s="36">
        <v>0.7310548544278503</v>
      </c>
      <c r="D25" s="11" t="s">
        <v>70</v>
      </c>
      <c r="E25" s="11" t="s">
        <v>383</v>
      </c>
      <c r="F25" s="22"/>
      <c r="G25" s="22"/>
      <c r="H25" s="22"/>
    </row>
  </sheetData>
  <mergeCells count="2">
    <mergeCell ref="A1:H1"/>
    <mergeCell ref="A2:H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34"/>
  <sheetViews>
    <sheetView workbookViewId="0">
      <pane state="frozen" activePane="bottomLeft" topLeftCell="A4" ySplit="3" xSplit="0"/>
    </sheetView>
  </sheetViews>
  <sheetFormatPr defaultRowHeight="15" x14ac:dyDescent="0.25"/>
  <cols>
    <col min="1" max="1" style="13" width="24.005" customWidth="1" bestFit="1"/>
    <col min="2" max="2" style="14" width="14.005" customWidth="1" bestFit="1"/>
    <col min="3" max="3" style="14" width="16.005" customWidth="1" bestFit="1"/>
    <col min="4" max="4" style="14" width="10.005" customWidth="1" bestFit="1"/>
    <col min="5" max="5" style="14" width="28.005" customWidth="1" bestFit="1"/>
    <col min="6" max="6" style="37" width="12.43357142857143" customWidth="1" bestFit="1"/>
    <col min="7" max="7" style="37" width="12.43357142857143" customWidth="1" bestFit="1"/>
    <col min="8" max="8" style="37" width="12.43357142857143" customWidth="1" bestFit="1"/>
  </cols>
  <sheetData>
    <row x14ac:dyDescent="0.25" r="1" customHeight="1" ht="17.25" customFormat="1" s="1">
      <c r="A1" s="2" t="s">
        <v>32</v>
      </c>
      <c r="B1" s="3"/>
      <c r="C1" s="3"/>
      <c r="D1" s="3"/>
      <c r="E1" s="3"/>
      <c r="F1" s="22"/>
      <c r="G1" s="22"/>
      <c r="H1" s="22"/>
    </row>
    <row x14ac:dyDescent="0.25" r="2" customHeight="1" ht="17.25" customFormat="1" s="1">
      <c r="A2" s="5" t="s">
        <v>33</v>
      </c>
      <c r="B2" s="3"/>
      <c r="C2" s="3"/>
      <c r="D2" s="3"/>
      <c r="E2" s="3"/>
      <c r="F2" s="22"/>
      <c r="G2" s="22"/>
      <c r="H2" s="22"/>
    </row>
    <row x14ac:dyDescent="0.25" r="3" customHeight="1" ht="17.25">
      <c r="A3" s="6"/>
      <c r="B3" s="3"/>
      <c r="C3" s="3"/>
      <c r="D3" s="3"/>
      <c r="E3" s="3"/>
      <c r="F3" s="23"/>
      <c r="G3" s="23"/>
      <c r="H3" s="23"/>
    </row>
    <row x14ac:dyDescent="0.25" r="4" customHeight="1" ht="17.25">
      <c r="A4" s="7" t="s">
        <v>34</v>
      </c>
      <c r="B4" s="3"/>
      <c r="C4" s="3"/>
      <c r="D4" s="3"/>
      <c r="E4" s="3"/>
      <c r="F4" s="23"/>
      <c r="G4" s="23"/>
      <c r="H4" s="23"/>
    </row>
    <row x14ac:dyDescent="0.25" r="5" customHeight="1" ht="17.25" customFormat="1" s="1">
      <c r="A5" s="8" t="s">
        <v>3</v>
      </c>
      <c r="B5" s="8" t="s">
        <v>4</v>
      </c>
      <c r="C5" s="8" t="s">
        <v>5</v>
      </c>
      <c r="D5" s="8" t="s">
        <v>6</v>
      </c>
      <c r="E5" s="8" t="s">
        <v>35</v>
      </c>
      <c r="F5" s="22"/>
      <c r="G5" s="22"/>
      <c r="H5" s="22"/>
    </row>
    <row x14ac:dyDescent="0.25" r="6" customHeight="1" ht="17.25" customFormat="1" s="1">
      <c r="A6" s="10" t="s">
        <v>36</v>
      </c>
      <c r="B6" s="11" t="s">
        <v>9</v>
      </c>
      <c r="C6" s="12">
        <f>RAW_03_debt_profile!C6</f>
      </c>
      <c r="D6" s="11" t="s">
        <v>10</v>
      </c>
      <c r="E6" s="11" t="s">
        <v>37</v>
      </c>
      <c r="F6" s="22"/>
      <c r="G6" s="22"/>
      <c r="H6" s="22"/>
    </row>
    <row x14ac:dyDescent="0.25" r="7" customHeight="1" ht="17.25" customFormat="1" s="1">
      <c r="A7" s="10" t="s">
        <v>38</v>
      </c>
      <c r="B7" s="11" t="s">
        <v>9</v>
      </c>
      <c r="C7" s="12">
        <f>RAW_03_debt_profile!C7</f>
      </c>
      <c r="D7" s="11" t="s">
        <v>10</v>
      </c>
      <c r="E7" s="11" t="s">
        <v>39</v>
      </c>
      <c r="F7" s="22"/>
      <c r="G7" s="22"/>
      <c r="H7" s="22"/>
    </row>
    <row x14ac:dyDescent="0.25" r="8" customHeight="1" ht="17.25" customFormat="1" s="1">
      <c r="A8" s="10" t="s">
        <v>40</v>
      </c>
      <c r="B8" s="11" t="s">
        <v>9</v>
      </c>
      <c r="C8" s="12">
        <f>RAW_03_debt_profile!C8</f>
      </c>
      <c r="D8" s="11" t="s">
        <v>10</v>
      </c>
      <c r="E8" s="11" t="s">
        <v>41</v>
      </c>
      <c r="F8" s="22"/>
      <c r="G8" s="22"/>
      <c r="H8" s="22"/>
    </row>
    <row x14ac:dyDescent="0.25" r="9" customHeight="1" ht="17.25" customFormat="1" s="1">
      <c r="A9" s="10" t="s">
        <v>42</v>
      </c>
      <c r="B9" s="11" t="s">
        <v>9</v>
      </c>
      <c r="C9" s="12">
        <f>RAW_03_debt_profile!C9</f>
      </c>
      <c r="D9" s="11" t="s">
        <v>10</v>
      </c>
      <c r="E9" s="11" t="s">
        <v>43</v>
      </c>
      <c r="F9" s="22"/>
      <c r="G9" s="22"/>
      <c r="H9" s="22"/>
    </row>
    <row x14ac:dyDescent="0.25" r="10" customHeight="1" ht="17.25" customFormat="1" s="1">
      <c r="A10" s="10" t="s">
        <v>44</v>
      </c>
      <c r="B10" s="11" t="s">
        <v>9</v>
      </c>
      <c r="C10" s="12">
        <f>SUM(C6:C9)</f>
      </c>
      <c r="D10" s="11" t="s">
        <v>10</v>
      </c>
      <c r="E10" s="11" t="s">
        <v>45</v>
      </c>
      <c r="F10" s="22"/>
      <c r="G10" s="22"/>
      <c r="H10" s="22"/>
    </row>
    <row x14ac:dyDescent="0.25" r="11" customHeight="1" ht="17.25">
      <c r="A11" s="6"/>
      <c r="B11" s="3"/>
      <c r="C11" s="3"/>
      <c r="D11" s="3"/>
      <c r="E11" s="3"/>
      <c r="F11" s="23"/>
      <c r="G11" s="23"/>
      <c r="H11" s="23"/>
    </row>
    <row x14ac:dyDescent="0.25" r="12" customHeight="1" ht="17.25">
      <c r="A12" s="7" t="s">
        <v>46</v>
      </c>
      <c r="B12" s="3"/>
      <c r="C12" s="3"/>
      <c r="D12" s="3"/>
      <c r="E12" s="3"/>
      <c r="F12" s="23"/>
      <c r="G12" s="23"/>
      <c r="H12" s="23"/>
    </row>
    <row x14ac:dyDescent="0.25" r="13" customHeight="1" ht="17.25" customFormat="1" s="1">
      <c r="A13" s="8" t="s">
        <v>3</v>
      </c>
      <c r="B13" s="8" t="s">
        <v>4</v>
      </c>
      <c r="C13" s="8" t="s">
        <v>5</v>
      </c>
      <c r="D13" s="8" t="s">
        <v>6</v>
      </c>
      <c r="E13" s="8" t="s">
        <v>35</v>
      </c>
      <c r="F13" s="22"/>
      <c r="G13" s="22"/>
      <c r="H13" s="22"/>
    </row>
    <row x14ac:dyDescent="0.25" r="14" customHeight="1" ht="17.25" customFormat="1" s="1">
      <c r="A14" s="10" t="s">
        <v>47</v>
      </c>
      <c r="B14" s="11" t="s">
        <v>9</v>
      </c>
      <c r="C14" s="12">
        <f>RAW_03_debt_profile!C14</f>
      </c>
      <c r="D14" s="11" t="s">
        <v>10</v>
      </c>
      <c r="E14" s="11" t="s">
        <v>48</v>
      </c>
      <c r="F14" s="22"/>
      <c r="G14" s="22"/>
      <c r="H14" s="22"/>
    </row>
    <row x14ac:dyDescent="0.25" r="15" customHeight="1" ht="17.25" customFormat="1" s="1">
      <c r="A15" s="10" t="s">
        <v>49</v>
      </c>
      <c r="B15" s="11" t="s">
        <v>9</v>
      </c>
      <c r="C15" s="12">
        <f>RAW_03_debt_profile!C15</f>
      </c>
      <c r="D15" s="11" t="s">
        <v>10</v>
      </c>
      <c r="E15" s="11" t="s">
        <v>50</v>
      </c>
      <c r="F15" s="22"/>
      <c r="G15" s="22"/>
      <c r="H15" s="22"/>
    </row>
    <row x14ac:dyDescent="0.25" r="16" customHeight="1" ht="17.25" customFormat="1" s="1">
      <c r="A16" s="10" t="s">
        <v>51</v>
      </c>
      <c r="B16" s="11" t="s">
        <v>9</v>
      </c>
      <c r="C16" s="12">
        <f>RAW_03_debt_profile!C16</f>
      </c>
      <c r="D16" s="11" t="s">
        <v>10</v>
      </c>
      <c r="E16" s="11" t="s">
        <v>52</v>
      </c>
      <c r="F16" s="22"/>
      <c r="G16" s="22"/>
      <c r="H16" s="22"/>
    </row>
    <row x14ac:dyDescent="0.25" r="17" customHeight="1" ht="17.25" customFormat="1" s="1">
      <c r="A17" s="10" t="s">
        <v>53</v>
      </c>
      <c r="B17" s="11" t="s">
        <v>9</v>
      </c>
      <c r="C17" s="12">
        <f>RAW_03_debt_profile!C17</f>
      </c>
      <c r="D17" s="11" t="s">
        <v>10</v>
      </c>
      <c r="E17" s="11" t="s">
        <v>54</v>
      </c>
      <c r="F17" s="22"/>
      <c r="G17" s="22"/>
      <c r="H17" s="22"/>
    </row>
    <row x14ac:dyDescent="0.25" r="18" customHeight="1" ht="17.25" customFormat="1" s="1">
      <c r="A18" s="10" t="s">
        <v>55</v>
      </c>
      <c r="B18" s="11" t="s">
        <v>9</v>
      </c>
      <c r="C18" s="12">
        <f>RAW_03_debt_profile!C18</f>
      </c>
      <c r="D18" s="11" t="s">
        <v>10</v>
      </c>
      <c r="E18" s="11" t="s">
        <v>56</v>
      </c>
      <c r="F18" s="22"/>
      <c r="G18" s="22"/>
      <c r="H18" s="22"/>
    </row>
    <row x14ac:dyDescent="0.25" r="19" customHeight="1" ht="17.25">
      <c r="A19" s="6"/>
      <c r="B19" s="3"/>
      <c r="C19" s="3"/>
      <c r="D19" s="3"/>
      <c r="E19" s="3"/>
      <c r="F19" s="23"/>
      <c r="G19" s="23"/>
      <c r="H19" s="23"/>
    </row>
    <row x14ac:dyDescent="0.25" r="20" customHeight="1" ht="17.25">
      <c r="A20" s="7" t="s">
        <v>57</v>
      </c>
      <c r="B20" s="3"/>
      <c r="C20" s="3"/>
      <c r="D20" s="3"/>
      <c r="E20" s="3"/>
      <c r="F20" s="23"/>
      <c r="G20" s="23"/>
      <c r="H20" s="23"/>
    </row>
    <row x14ac:dyDescent="0.25" r="21" customHeight="1" ht="17.25" customFormat="1" s="1">
      <c r="A21" s="8" t="s">
        <v>3</v>
      </c>
      <c r="B21" s="8" t="s">
        <v>4</v>
      </c>
      <c r="C21" s="8" t="s">
        <v>5</v>
      </c>
      <c r="D21" s="8" t="s">
        <v>6</v>
      </c>
      <c r="E21" s="8" t="s">
        <v>35</v>
      </c>
      <c r="F21" s="22"/>
      <c r="G21" s="22"/>
      <c r="H21" s="22"/>
    </row>
    <row x14ac:dyDescent="0.25" r="22" customHeight="1" ht="17.25" customFormat="1" s="1">
      <c r="A22" s="10" t="s">
        <v>58</v>
      </c>
      <c r="B22" s="11" t="s">
        <v>9</v>
      </c>
      <c r="C22" s="12">
        <f>RAW_03_debt_profile!C22</f>
      </c>
      <c r="D22" s="11" t="s">
        <v>10</v>
      </c>
      <c r="E22" s="11" t="s">
        <v>59</v>
      </c>
      <c r="F22" s="22"/>
      <c r="G22" s="22"/>
      <c r="H22" s="22"/>
    </row>
    <row x14ac:dyDescent="0.25" r="23" customHeight="1" ht="17.25" customFormat="1" s="1">
      <c r="A23" s="10" t="s">
        <v>60</v>
      </c>
      <c r="B23" s="11" t="s">
        <v>9</v>
      </c>
      <c r="C23" s="12">
        <f>RAW_03_debt_profile!C23</f>
      </c>
      <c r="D23" s="11" t="s">
        <v>10</v>
      </c>
      <c r="E23" s="11" t="s">
        <v>61</v>
      </c>
      <c r="F23" s="22"/>
      <c r="G23" s="22"/>
      <c r="H23" s="22"/>
    </row>
    <row x14ac:dyDescent="0.25" r="24" customHeight="1" ht="17.25" customFormat="1" s="1">
      <c r="A24" s="10" t="s">
        <v>62</v>
      </c>
      <c r="B24" s="11" t="s">
        <v>9</v>
      </c>
      <c r="C24" s="12">
        <f>SUM(C22:C23)</f>
      </c>
      <c r="D24" s="11" t="s">
        <v>10</v>
      </c>
      <c r="E24" s="11" t="s">
        <v>63</v>
      </c>
      <c r="F24" s="22"/>
      <c r="G24" s="22"/>
      <c r="H24" s="22"/>
    </row>
    <row x14ac:dyDescent="0.25" r="25" customHeight="1" ht="17.25" customFormat="1" s="1">
      <c r="A25" s="10" t="s">
        <v>64</v>
      </c>
      <c r="B25" s="11" t="s">
        <v>9</v>
      </c>
      <c r="C25" s="12">
        <f>RAW_03_debt_profile!C25</f>
      </c>
      <c r="D25" s="11" t="s">
        <v>10</v>
      </c>
      <c r="E25" s="11" t="s">
        <v>65</v>
      </c>
      <c r="F25" s="22"/>
      <c r="G25" s="22"/>
      <c r="H25" s="22"/>
    </row>
    <row x14ac:dyDescent="0.25" r="26" customHeight="1" ht="17.25" customFormat="1" s="1">
      <c r="A26" s="10" t="s">
        <v>66</v>
      </c>
      <c r="B26" s="11" t="s">
        <v>9</v>
      </c>
      <c r="C26" s="12">
        <f>C24+C25</f>
      </c>
      <c r="D26" s="11" t="s">
        <v>10</v>
      </c>
      <c r="E26" s="11" t="s">
        <v>67</v>
      </c>
      <c r="F26" s="22"/>
      <c r="G26" s="22"/>
      <c r="H26" s="22"/>
    </row>
    <row x14ac:dyDescent="0.25" r="27" customHeight="1" ht="17.25" customFormat="1" s="1">
      <c r="A27" s="16" t="s">
        <v>68</v>
      </c>
      <c r="B27" s="17" t="s">
        <v>69</v>
      </c>
      <c r="C27" s="18">
        <f>C26/C17</f>
      </c>
      <c r="D27" s="19" t="s">
        <v>70</v>
      </c>
      <c r="E27" s="17" t="s">
        <v>71</v>
      </c>
      <c r="F27" s="22"/>
      <c r="G27" s="22"/>
      <c r="H27" s="22"/>
    </row>
    <row x14ac:dyDescent="0.25" r="28" customHeight="1" ht="17.25">
      <c r="A28" s="6"/>
      <c r="B28" s="3"/>
      <c r="C28" s="3"/>
      <c r="D28" s="3"/>
      <c r="E28" s="3"/>
      <c r="F28" s="23"/>
      <c r="G28" s="23"/>
      <c r="H28" s="23"/>
    </row>
    <row x14ac:dyDescent="0.25" r="29" customHeight="1" ht="17.25">
      <c r="A29" s="7" t="s">
        <v>72</v>
      </c>
      <c r="B29" s="3"/>
      <c r="C29" s="3"/>
      <c r="D29" s="3"/>
      <c r="E29" s="3"/>
      <c r="F29" s="23"/>
      <c r="G29" s="23"/>
      <c r="H29" s="23"/>
    </row>
    <row x14ac:dyDescent="0.25" r="30" customHeight="1" ht="17.25" customFormat="1" s="1">
      <c r="A30" s="8" t="s">
        <v>3</v>
      </c>
      <c r="B30" s="8" t="s">
        <v>4</v>
      </c>
      <c r="C30" s="8" t="s">
        <v>5</v>
      </c>
      <c r="D30" s="8" t="s">
        <v>6</v>
      </c>
      <c r="E30" s="8" t="s">
        <v>35</v>
      </c>
      <c r="F30" s="22"/>
      <c r="G30" s="22"/>
      <c r="H30" s="22"/>
    </row>
    <row x14ac:dyDescent="0.25" r="31" customHeight="1" ht="17.25" customFormat="1" s="1">
      <c r="A31" s="10" t="s">
        <v>73</v>
      </c>
      <c r="B31" s="11" t="s">
        <v>9</v>
      </c>
      <c r="C31" s="12">
        <f>RAW_03_debt_profile!C31</f>
      </c>
      <c r="D31" s="11" t="s">
        <v>10</v>
      </c>
      <c r="E31" s="11" t="s">
        <v>74</v>
      </c>
      <c r="F31" s="22"/>
      <c r="G31" s="22"/>
      <c r="H31" s="22"/>
    </row>
    <row x14ac:dyDescent="0.25" r="32" customHeight="1" ht="17.25" customFormat="1" s="1">
      <c r="A32" s="10" t="s">
        <v>75</v>
      </c>
      <c r="B32" s="11" t="s">
        <v>9</v>
      </c>
      <c r="C32" s="12">
        <f>C18/C31</f>
      </c>
      <c r="D32" s="11" t="s">
        <v>76</v>
      </c>
      <c r="E32" s="11" t="s">
        <v>77</v>
      </c>
      <c r="F32" s="22"/>
      <c r="G32" s="22"/>
      <c r="H32" s="22"/>
    </row>
    <row x14ac:dyDescent="0.25" r="33" customHeight="1" ht="17.25" customFormat="1" s="1">
      <c r="A33" s="10" t="s">
        <v>78</v>
      </c>
      <c r="B33" s="11" t="s">
        <v>9</v>
      </c>
      <c r="C33" s="12">
        <f>C17/C31</f>
      </c>
      <c r="D33" s="11" t="s">
        <v>76</v>
      </c>
      <c r="E33" s="11" t="s">
        <v>79</v>
      </c>
      <c r="F33" s="22"/>
      <c r="G33" s="22"/>
      <c r="H33" s="22"/>
    </row>
    <row x14ac:dyDescent="0.25" r="34" customHeight="1" ht="17.25" customFormat="1" s="1">
      <c r="A34" s="10" t="s">
        <v>80</v>
      </c>
      <c r="B34" s="11" t="s">
        <v>9</v>
      </c>
      <c r="C34" s="12">
        <f>RAW_03_debt_profile!C34</f>
      </c>
      <c r="D34" s="11" t="s">
        <v>10</v>
      </c>
      <c r="E34" s="11" t="s">
        <v>81</v>
      </c>
      <c r="F34" s="22"/>
      <c r="G34" s="22"/>
      <c r="H34" s="22"/>
    </row>
  </sheetData>
  <mergeCells count="2">
    <mergeCell ref="A1:H1"/>
    <mergeCell ref="A2:H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20"/>
  <sheetViews>
    <sheetView workbookViewId="0">
      <pane state="frozen" activePane="bottomLeft" topLeftCell="A4" ySplit="3" xSplit="0"/>
    </sheetView>
  </sheetViews>
  <sheetFormatPr defaultRowHeight="15" x14ac:dyDescent="0.25"/>
  <cols>
    <col min="1" max="1" style="13" width="24.005" customWidth="1" bestFit="1"/>
    <col min="2" max="2" style="52" width="14.005" customWidth="1" bestFit="1"/>
    <col min="3" max="3" style="53" width="16.005" customWidth="1" bestFit="1"/>
    <col min="4" max="4" style="52" width="10.005" customWidth="1" bestFit="1"/>
    <col min="5" max="5" style="52" width="28.005" customWidth="1" bestFit="1"/>
    <col min="6" max="6" style="37" width="12.43357142857143" customWidth="1" bestFit="1"/>
    <col min="7" max="7" style="37" width="12.43357142857143" customWidth="1" bestFit="1"/>
    <col min="8" max="8" style="37" width="12.43357142857143" customWidth="1" bestFit="1"/>
  </cols>
  <sheetData>
    <row x14ac:dyDescent="0.25" r="1" customHeight="1" ht="17.25" customFormat="1" s="1">
      <c r="A1" s="2" t="s">
        <v>333</v>
      </c>
      <c r="B1" s="3"/>
      <c r="C1" s="4"/>
      <c r="D1" s="3"/>
      <c r="E1" s="3"/>
      <c r="F1" s="22"/>
      <c r="G1" s="22"/>
      <c r="H1" s="22"/>
    </row>
    <row x14ac:dyDescent="0.25" r="2" customHeight="1" ht="17.25" customFormat="1" s="1">
      <c r="A2" s="5" t="s">
        <v>334</v>
      </c>
      <c r="B2" s="3"/>
      <c r="C2" s="4"/>
      <c r="D2" s="3"/>
      <c r="E2" s="3"/>
      <c r="F2" s="22"/>
      <c r="G2" s="22"/>
      <c r="H2" s="22"/>
    </row>
    <row x14ac:dyDescent="0.25" r="3" customHeight="1" ht="17.25">
      <c r="A3" s="6"/>
      <c r="B3" s="49"/>
      <c r="C3" s="50"/>
      <c r="D3" s="49"/>
      <c r="E3" s="49"/>
      <c r="F3" s="23"/>
      <c r="G3" s="23"/>
      <c r="H3" s="23"/>
    </row>
    <row x14ac:dyDescent="0.25" r="4" customHeight="1" ht="17.25">
      <c r="A4" s="7" t="s">
        <v>335</v>
      </c>
      <c r="B4" s="49"/>
      <c r="C4" s="50"/>
      <c r="D4" s="49"/>
      <c r="E4" s="49"/>
      <c r="F4" s="23"/>
      <c r="G4" s="23"/>
      <c r="H4" s="23"/>
    </row>
    <row x14ac:dyDescent="0.25" r="5" customHeight="1" ht="17.25" customFormat="1" s="1">
      <c r="A5" s="8" t="s">
        <v>3</v>
      </c>
      <c r="B5" s="8" t="s">
        <v>4</v>
      </c>
      <c r="C5" s="9" t="s">
        <v>5</v>
      </c>
      <c r="D5" s="8" t="s">
        <v>6</v>
      </c>
      <c r="E5" s="8" t="s">
        <v>35</v>
      </c>
      <c r="F5" s="22"/>
      <c r="G5" s="22"/>
      <c r="H5" s="22"/>
    </row>
    <row x14ac:dyDescent="0.25" r="6" customHeight="1" ht="17.25" customFormat="1" s="1">
      <c r="A6" s="10" t="s">
        <v>336</v>
      </c>
      <c r="B6" s="11" t="s">
        <v>9</v>
      </c>
      <c r="C6" s="12">
        <v>740.0226377873</v>
      </c>
      <c r="D6" s="11" t="s">
        <v>10</v>
      </c>
      <c r="E6" s="11" t="s">
        <v>337</v>
      </c>
      <c r="F6" s="22"/>
      <c r="G6" s="22"/>
      <c r="H6" s="22"/>
    </row>
    <row x14ac:dyDescent="0.25" r="7" customHeight="1" ht="17.25" customFormat="1" s="1">
      <c r="A7" s="10" t="s">
        <v>338</v>
      </c>
      <c r="B7" s="11" t="s">
        <v>9</v>
      </c>
      <c r="C7" s="12">
        <v>46.5470100207</v>
      </c>
      <c r="D7" s="11" t="s">
        <v>10</v>
      </c>
      <c r="E7" s="11" t="s">
        <v>339</v>
      </c>
      <c r="F7" s="22"/>
      <c r="G7" s="22"/>
      <c r="H7" s="22"/>
    </row>
    <row x14ac:dyDescent="0.25" r="8" customHeight="1" ht="17.25" customFormat="1" s="1">
      <c r="A8" s="10" t="s">
        <v>340</v>
      </c>
      <c r="B8" s="11" t="s">
        <v>9</v>
      </c>
      <c r="C8" s="12">
        <v>693.4756277666</v>
      </c>
      <c r="D8" s="11" t="s">
        <v>10</v>
      </c>
      <c r="E8" s="11" t="s">
        <v>341</v>
      </c>
      <c r="F8" s="22"/>
      <c r="G8" s="22"/>
      <c r="H8" s="22"/>
    </row>
    <row x14ac:dyDescent="0.25" r="9" customHeight="1" ht="17.25" customFormat="1" s="1">
      <c r="A9" s="10" t="s">
        <v>342</v>
      </c>
      <c r="B9" s="11" t="s">
        <v>9</v>
      </c>
      <c r="C9" s="12">
        <v>1347.1308742951</v>
      </c>
      <c r="D9" s="11" t="s">
        <v>10</v>
      </c>
      <c r="E9" s="11" t="s">
        <v>45</v>
      </c>
      <c r="F9" s="22"/>
      <c r="G9" s="22"/>
      <c r="H9" s="22"/>
    </row>
    <row x14ac:dyDescent="0.25" r="10" customHeight="1" ht="17.25" customFormat="1" s="1">
      <c r="A10" s="10" t="s">
        <v>343</v>
      </c>
      <c r="B10" s="11" t="s">
        <v>9</v>
      </c>
      <c r="C10" s="12">
        <v>0.514779700323822</v>
      </c>
      <c r="D10" s="11" t="s">
        <v>76</v>
      </c>
      <c r="E10" s="11" t="s">
        <v>344</v>
      </c>
      <c r="F10" s="22"/>
      <c r="G10" s="22"/>
      <c r="H10" s="22"/>
    </row>
    <row x14ac:dyDescent="0.25" r="11" customHeight="1" ht="17.25">
      <c r="A11" s="6"/>
      <c r="B11" s="49"/>
      <c r="C11" s="50"/>
      <c r="D11" s="49"/>
      <c r="E11" s="49"/>
      <c r="F11" s="23"/>
      <c r="G11" s="23"/>
      <c r="H11" s="23"/>
    </row>
    <row x14ac:dyDescent="0.25" r="12" customHeight="1" ht="17.25">
      <c r="A12" s="7" t="s">
        <v>345</v>
      </c>
      <c r="B12" s="49"/>
      <c r="C12" s="50"/>
      <c r="D12" s="49"/>
      <c r="E12" s="49"/>
      <c r="F12" s="23"/>
      <c r="G12" s="23"/>
      <c r="H12" s="23"/>
    </row>
    <row x14ac:dyDescent="0.25" r="13" customHeight="1" ht="17.25">
      <c r="A13" s="51" t="s">
        <v>346</v>
      </c>
      <c r="B13" s="28"/>
      <c r="C13" s="26"/>
      <c r="D13" s="28"/>
      <c r="E13" s="28"/>
      <c r="F13" s="28"/>
      <c r="G13" s="28"/>
      <c r="H13" s="29"/>
    </row>
    <row x14ac:dyDescent="0.25" r="14" customHeight="1" ht="17.25">
      <c r="A14" s="30"/>
      <c r="B14" s="33"/>
      <c r="C14" s="31"/>
      <c r="D14" s="33"/>
      <c r="E14" s="33"/>
      <c r="F14" s="33"/>
      <c r="G14" s="33"/>
      <c r="H14" s="34"/>
    </row>
    <row x14ac:dyDescent="0.25" r="15" customHeight="1" ht="17.25">
      <c r="A15" s="6"/>
      <c r="B15" s="49"/>
      <c r="C15" s="50"/>
      <c r="D15" s="49"/>
      <c r="E15" s="49"/>
      <c r="F15" s="23"/>
      <c r="G15" s="23"/>
      <c r="H15" s="23"/>
    </row>
    <row x14ac:dyDescent="0.25" r="16" customHeight="1" ht="17.25">
      <c r="A16" s="7" t="s">
        <v>347</v>
      </c>
      <c r="B16" s="49"/>
      <c r="C16" s="50"/>
      <c r="D16" s="49"/>
      <c r="E16" s="49"/>
      <c r="F16" s="23"/>
      <c r="G16" s="23"/>
      <c r="H16" s="23"/>
    </row>
    <row x14ac:dyDescent="0.25" r="17" customHeight="1" ht="17.25" customFormat="1" s="1">
      <c r="A17" s="8" t="s">
        <v>3</v>
      </c>
      <c r="B17" s="8" t="s">
        <v>4</v>
      </c>
      <c r="C17" s="9" t="s">
        <v>5</v>
      </c>
      <c r="D17" s="8" t="s">
        <v>6</v>
      </c>
      <c r="E17" s="8" t="s">
        <v>35</v>
      </c>
      <c r="F17" s="22"/>
      <c r="G17" s="22"/>
      <c r="H17" s="22"/>
    </row>
    <row x14ac:dyDescent="0.25" r="18" customHeight="1" ht="17.25" customFormat="1" s="1">
      <c r="A18" s="10" t="s">
        <v>348</v>
      </c>
      <c r="B18" s="11" t="s">
        <v>9</v>
      </c>
      <c r="C18" s="12">
        <v>103.944</v>
      </c>
      <c r="D18" s="11" t="s">
        <v>10</v>
      </c>
      <c r="E18" s="11" t="s">
        <v>349</v>
      </c>
      <c r="F18" s="22"/>
      <c r="G18" s="22"/>
      <c r="H18" s="22"/>
    </row>
    <row x14ac:dyDescent="0.25" r="19" customHeight="1" ht="17.25" customFormat="1" s="1">
      <c r="A19" s="10" t="s">
        <v>350</v>
      </c>
      <c r="B19" s="11" t="s">
        <v>9</v>
      </c>
      <c r="C19" s="12">
        <v>1039.5369928947</v>
      </c>
      <c r="D19" s="11" t="s">
        <v>10</v>
      </c>
      <c r="E19" s="11" t="s">
        <v>351</v>
      </c>
      <c r="F19" s="22"/>
      <c r="G19" s="22"/>
      <c r="H19" s="22"/>
    </row>
    <row x14ac:dyDescent="0.25" r="20" customHeight="1" ht="17.25" customFormat="1" s="1">
      <c r="A20" s="10" t="s">
        <v>352</v>
      </c>
      <c r="B20" s="11" t="s">
        <v>9</v>
      </c>
      <c r="C20" s="12">
        <v>3642.5768006561</v>
      </c>
      <c r="D20" s="11" t="s">
        <v>10</v>
      </c>
      <c r="E20" s="11" t="s">
        <v>208</v>
      </c>
      <c r="F20" s="22"/>
      <c r="G20" s="22"/>
      <c r="H20" s="22"/>
    </row>
  </sheetData>
  <mergeCells count="3">
    <mergeCell ref="A1:H1"/>
    <mergeCell ref="A2:H2"/>
    <mergeCell ref="A13:H1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9"/>
  <sheetViews>
    <sheetView workbookViewId="0">
      <pane state="frozen" activePane="bottomLeft" topLeftCell="A4" ySplit="3" xSplit="0"/>
    </sheetView>
  </sheetViews>
  <sheetFormatPr defaultRowHeight="15" x14ac:dyDescent="0.25"/>
  <cols>
    <col min="1" max="1" style="37" width="28.005" customWidth="1" bestFit="1"/>
    <col min="2" max="2" style="37" width="14.005" customWidth="1" bestFit="1"/>
    <col min="3" max="3" style="38" width="16.005" customWidth="1" bestFit="1"/>
    <col min="4" max="4" style="37" width="10.005" customWidth="1" bestFit="1"/>
    <col min="5" max="5" style="37" width="28.005" customWidth="1" bestFit="1"/>
    <col min="6" max="6" style="37" width="12.43357142857143" customWidth="1" bestFit="1"/>
    <col min="7" max="7" style="37" width="12.43357142857143" customWidth="1" bestFit="1"/>
    <col min="8" max="8" style="37" width="12.43357142857143" customWidth="1" bestFit="1"/>
  </cols>
  <sheetData>
    <row x14ac:dyDescent="0.25" r="1" customHeight="1" ht="17.25" customFormat="1" s="1">
      <c r="A1" s="2" t="s">
        <v>308</v>
      </c>
      <c r="B1" s="22"/>
      <c r="C1" s="20"/>
      <c r="D1" s="22"/>
      <c r="E1" s="22"/>
      <c r="F1" s="22"/>
      <c r="G1" s="22"/>
      <c r="H1" s="22"/>
    </row>
    <row x14ac:dyDescent="0.25" r="2" customHeight="1" ht="17.25" customFormat="1" s="1">
      <c r="A2" s="5" t="s">
        <v>309</v>
      </c>
      <c r="B2" s="22"/>
      <c r="C2" s="20"/>
      <c r="D2" s="22"/>
      <c r="E2" s="22"/>
      <c r="F2" s="22"/>
      <c r="G2" s="22"/>
      <c r="H2" s="22"/>
    </row>
    <row x14ac:dyDescent="0.25" r="3" customHeight="1" ht="17.25">
      <c r="A3" s="23"/>
      <c r="B3" s="23"/>
      <c r="C3" s="24"/>
      <c r="D3" s="23"/>
      <c r="E3" s="23"/>
      <c r="F3" s="23"/>
      <c r="G3" s="23"/>
      <c r="H3" s="23"/>
    </row>
    <row x14ac:dyDescent="0.25" r="4" customHeight="1" ht="17.25">
      <c r="A4" s="7" t="s">
        <v>310</v>
      </c>
      <c r="B4" s="23"/>
      <c r="C4" s="24"/>
      <c r="D4" s="23"/>
      <c r="E4" s="23"/>
      <c r="F4" s="23"/>
      <c r="G4" s="23"/>
      <c r="H4" s="23"/>
    </row>
    <row x14ac:dyDescent="0.25" r="5" customHeight="1" ht="17.25" customFormat="1" s="1">
      <c r="A5" s="8" t="s">
        <v>3</v>
      </c>
      <c r="B5" s="8" t="s">
        <v>4</v>
      </c>
      <c r="C5" s="9" t="s">
        <v>5</v>
      </c>
      <c r="D5" s="8" t="s">
        <v>6</v>
      </c>
      <c r="E5" s="8" t="s">
        <v>311</v>
      </c>
      <c r="F5" s="22"/>
      <c r="G5" s="22"/>
      <c r="H5" s="22"/>
    </row>
    <row x14ac:dyDescent="0.25" r="6" customHeight="1" ht="17.25" customFormat="1" s="1">
      <c r="A6" s="10" t="s">
        <v>312</v>
      </c>
      <c r="B6" s="11" t="s">
        <v>9</v>
      </c>
      <c r="C6" s="12">
        <v>93.1215889955</v>
      </c>
      <c r="D6" s="11" t="s">
        <v>10</v>
      </c>
      <c r="E6" s="11" t="s">
        <v>313</v>
      </c>
      <c r="F6" s="22"/>
      <c r="G6" s="22"/>
      <c r="H6" s="22"/>
    </row>
    <row x14ac:dyDescent="0.25" r="7" customHeight="1" ht="17.25" customFormat="1" s="1">
      <c r="A7" s="10" t="s">
        <v>314</v>
      </c>
      <c r="B7" s="11" t="s">
        <v>9</v>
      </c>
      <c r="C7" s="12">
        <v>2152.5981990802</v>
      </c>
      <c r="D7" s="11" t="s">
        <v>10</v>
      </c>
      <c r="E7" s="11" t="s">
        <v>315</v>
      </c>
      <c r="F7" s="22"/>
      <c r="G7" s="22"/>
      <c r="H7" s="22"/>
    </row>
    <row x14ac:dyDescent="0.25" r="8" customHeight="1" ht="17.25" customFormat="1" s="1">
      <c r="A8" s="10" t="s">
        <v>316</v>
      </c>
      <c r="B8" s="11" t="s">
        <v>9</v>
      </c>
      <c r="C8" s="12">
        <v>123.3782147785</v>
      </c>
      <c r="D8" s="11" t="s">
        <v>10</v>
      </c>
      <c r="E8" s="11" t="s">
        <v>317</v>
      </c>
      <c r="F8" s="22"/>
      <c r="G8" s="22"/>
      <c r="H8" s="22"/>
    </row>
    <row x14ac:dyDescent="0.25" r="9" customHeight="1" ht="17.25" customFormat="1" s="1">
      <c r="A9" s="10" t="s">
        <v>318</v>
      </c>
      <c r="B9" s="11" t="s">
        <v>9</v>
      </c>
      <c r="C9" s="12">
        <v>127.017571863</v>
      </c>
      <c r="D9" s="11" t="s">
        <v>10</v>
      </c>
      <c r="E9" s="11" t="s">
        <v>319</v>
      </c>
      <c r="F9" s="22"/>
      <c r="G9" s="22"/>
      <c r="H9" s="22"/>
    </row>
    <row x14ac:dyDescent="0.25" r="10" customHeight="1" ht="17.25" customFormat="1" s="1">
      <c r="A10" s="10" t="s">
        <v>320</v>
      </c>
      <c r="B10" s="11" t="s">
        <v>9</v>
      </c>
      <c r="C10" s="12">
        <v>4625.1854059268</v>
      </c>
      <c r="D10" s="11" t="s">
        <v>10</v>
      </c>
      <c r="E10" s="11" t="s">
        <v>321</v>
      </c>
      <c r="F10" s="22"/>
      <c r="G10" s="22"/>
      <c r="H10" s="22"/>
    </row>
    <row x14ac:dyDescent="0.25" r="11" customHeight="1" ht="17.25" customFormat="1" s="1">
      <c r="A11" s="10" t="s">
        <v>322</v>
      </c>
      <c r="B11" s="11" t="s">
        <v>9</v>
      </c>
      <c r="C11" s="12">
        <v>627.4710974797</v>
      </c>
      <c r="D11" s="11" t="s">
        <v>10</v>
      </c>
      <c r="E11" s="11" t="s">
        <v>323</v>
      </c>
      <c r="F11" s="22"/>
      <c r="G11" s="22"/>
      <c r="H11" s="22"/>
    </row>
    <row x14ac:dyDescent="0.25" r="12" customHeight="1" ht="17.25" customFormat="1" s="1">
      <c r="A12" s="10" t="s">
        <v>324</v>
      </c>
      <c r="B12" s="11" t="s">
        <v>9</v>
      </c>
      <c r="C12" s="12">
        <v>1373.625423372</v>
      </c>
      <c r="D12" s="11" t="s">
        <v>10</v>
      </c>
      <c r="E12" s="11" t="s">
        <v>325</v>
      </c>
      <c r="F12" s="22"/>
      <c r="G12" s="22"/>
      <c r="H12" s="22"/>
    </row>
    <row x14ac:dyDescent="0.25" r="13" customHeight="1" ht="17.25" customFormat="1" s="1">
      <c r="A13" s="10" t="s">
        <v>326</v>
      </c>
      <c r="B13" s="11" t="s">
        <v>9</v>
      </c>
      <c r="C13" s="12">
        <v>78.7197547494</v>
      </c>
      <c r="D13" s="11" t="s">
        <v>10</v>
      </c>
      <c r="E13" s="11" t="s">
        <v>327</v>
      </c>
      <c r="F13" s="22"/>
      <c r="G13" s="22"/>
      <c r="H13" s="22"/>
    </row>
    <row x14ac:dyDescent="0.25" r="14" customHeight="1" ht="17.25" customFormat="1" s="1">
      <c r="A14" s="10" t="s">
        <v>328</v>
      </c>
      <c r="B14" s="11" t="s">
        <v>9</v>
      </c>
      <c r="C14" s="12">
        <v>1580.0311617993</v>
      </c>
      <c r="D14" s="11" t="s">
        <v>10</v>
      </c>
      <c r="E14" s="11" t="s">
        <v>108</v>
      </c>
      <c r="F14" s="22"/>
      <c r="G14" s="22"/>
      <c r="H14" s="22"/>
    </row>
    <row x14ac:dyDescent="0.25" r="15" customHeight="1" ht="17.25" customFormat="1" s="1">
      <c r="A15" s="10" t="s">
        <v>329</v>
      </c>
      <c r="B15" s="11" t="s">
        <v>9</v>
      </c>
      <c r="C15" s="12">
        <v>84.47</v>
      </c>
      <c r="D15" s="11" t="s">
        <v>10</v>
      </c>
      <c r="E15" s="11" t="s">
        <v>330</v>
      </c>
      <c r="F15" s="22"/>
      <c r="G15" s="22"/>
      <c r="H15" s="22"/>
    </row>
    <row x14ac:dyDescent="0.25" r="16" customHeight="1" ht="17.25">
      <c r="A16" s="23"/>
      <c r="B16" s="23"/>
      <c r="C16" s="24"/>
      <c r="D16" s="23"/>
      <c r="E16" s="23"/>
      <c r="F16" s="23"/>
      <c r="G16" s="23"/>
      <c r="H16" s="23"/>
    </row>
    <row x14ac:dyDescent="0.25" r="17" customHeight="1" ht="17.25">
      <c r="A17" s="7" t="s">
        <v>331</v>
      </c>
      <c r="B17" s="23"/>
      <c r="C17" s="24"/>
      <c r="D17" s="23"/>
      <c r="E17" s="23"/>
      <c r="F17" s="23"/>
      <c r="G17" s="23"/>
      <c r="H17" s="23"/>
    </row>
    <row x14ac:dyDescent="0.25" r="18" customHeight="1" ht="17.25">
      <c r="A18" s="42" t="s">
        <v>332</v>
      </c>
      <c r="B18" s="28"/>
      <c r="C18" s="26"/>
      <c r="D18" s="28"/>
      <c r="E18" s="28"/>
      <c r="F18" s="28"/>
      <c r="G18" s="28"/>
      <c r="H18" s="29"/>
    </row>
    <row x14ac:dyDescent="0.25" r="19" customHeight="1" ht="17.25">
      <c r="A19" s="30"/>
      <c r="B19" s="33"/>
      <c r="C19" s="31"/>
      <c r="D19" s="33"/>
      <c r="E19" s="33"/>
      <c r="F19" s="33"/>
      <c r="G19" s="33"/>
      <c r="H19" s="34"/>
    </row>
  </sheetData>
  <mergeCells count="3">
    <mergeCell ref="A1:H1"/>
    <mergeCell ref="A2:H2"/>
    <mergeCell ref="A18:H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8"/>
  <sheetViews>
    <sheetView workbookViewId="0">
      <pane state="frozen" activePane="bottomLeft" topLeftCell="A4" ySplit="3" xSplit="0"/>
    </sheetView>
  </sheetViews>
  <sheetFormatPr defaultRowHeight="15" x14ac:dyDescent="0.25"/>
  <cols>
    <col min="1" max="1" style="13" width="22.005" customWidth="1" bestFit="1"/>
    <col min="2" max="2" style="14" width="14.005" customWidth="1" bestFit="1"/>
    <col min="3" max="3" style="14" width="16.005" customWidth="1" bestFit="1"/>
    <col min="4" max="4" style="14" width="10.005" customWidth="1" bestFit="1"/>
    <col min="5" max="5" style="14" width="32.005" customWidth="1" bestFit="1"/>
    <col min="6" max="6" style="37" width="12.43357142857143" customWidth="1" bestFit="1"/>
    <col min="7" max="7" style="37" width="12.43357142857143" customWidth="1" bestFit="1"/>
    <col min="8" max="8" style="37" width="12.43357142857143" customWidth="1" bestFit="1"/>
  </cols>
  <sheetData>
    <row x14ac:dyDescent="0.25" r="1" customHeight="1" ht="17.25" customFormat="1" s="1">
      <c r="A1" s="2" t="s">
        <v>0</v>
      </c>
      <c r="B1" s="3"/>
      <c r="C1" s="3"/>
      <c r="D1" s="3"/>
      <c r="E1" s="3"/>
      <c r="F1" s="22"/>
      <c r="G1" s="22"/>
      <c r="H1" s="22"/>
    </row>
    <row x14ac:dyDescent="0.25" r="2" customHeight="1" ht="17.25" customFormat="1" s="1">
      <c r="A2" s="5" t="s">
        <v>1</v>
      </c>
      <c r="B2" s="3"/>
      <c r="C2" s="3"/>
      <c r="D2" s="3"/>
      <c r="E2" s="3"/>
      <c r="F2" s="22"/>
      <c r="G2" s="22"/>
      <c r="H2" s="22"/>
    </row>
    <row x14ac:dyDescent="0.25" r="3" customHeight="1" ht="17.25">
      <c r="A3" s="6"/>
      <c r="B3" s="3"/>
      <c r="C3" s="3"/>
      <c r="D3" s="3"/>
      <c r="E3" s="3"/>
      <c r="F3" s="23"/>
      <c r="G3" s="23"/>
      <c r="H3" s="23"/>
    </row>
    <row x14ac:dyDescent="0.25" r="4" customHeight="1" ht="17.25">
      <c r="A4" s="7" t="s">
        <v>2</v>
      </c>
      <c r="B4" s="3"/>
      <c r="C4" s="3"/>
      <c r="D4" s="3"/>
      <c r="E4" s="3"/>
      <c r="F4" s="23"/>
      <c r="G4" s="23"/>
      <c r="H4" s="23"/>
    </row>
    <row x14ac:dyDescent="0.25" r="5" customHeight="1" ht="17.25" customFormat="1" s="1">
      <c r="A5" s="8" t="s">
        <v>3</v>
      </c>
      <c r="B5" s="8" t="s">
        <v>4</v>
      </c>
      <c r="C5" s="8" t="s">
        <v>5</v>
      </c>
      <c r="D5" s="8" t="s">
        <v>6</v>
      </c>
      <c r="E5" s="8" t="s">
        <v>7</v>
      </c>
      <c r="F5" s="22"/>
      <c r="G5" s="22"/>
      <c r="H5" s="22"/>
    </row>
    <row x14ac:dyDescent="0.25" r="6" customHeight="1" ht="17.25" customFormat="1" s="1">
      <c r="A6" s="10" t="s">
        <v>8</v>
      </c>
      <c r="B6" s="11" t="s">
        <v>9</v>
      </c>
      <c r="C6" s="12">
        <f>RAW_06_cash_flow_bridge!C6</f>
      </c>
      <c r="D6" s="11" t="s">
        <v>10</v>
      </c>
      <c r="E6" s="11" t="s">
        <v>11</v>
      </c>
      <c r="F6" s="22"/>
      <c r="G6" s="22"/>
      <c r="H6" s="22"/>
    </row>
    <row x14ac:dyDescent="0.25" r="7" customHeight="1" ht="17.25" customFormat="1" s="1">
      <c r="A7" s="10" t="s">
        <v>12</v>
      </c>
      <c r="B7" s="11" t="s">
        <v>9</v>
      </c>
      <c r="C7" s="12">
        <f>RAW_06_cash_flow_bridge!C7</f>
      </c>
      <c r="D7" s="11" t="s">
        <v>10</v>
      </c>
      <c r="E7" s="11" t="s">
        <v>13</v>
      </c>
      <c r="F7" s="22"/>
      <c r="G7" s="22"/>
      <c r="H7" s="22"/>
    </row>
    <row x14ac:dyDescent="0.25" r="8" customHeight="1" ht="17.25" customFormat="1" s="1">
      <c r="A8" s="10" t="s">
        <v>14</v>
      </c>
      <c r="B8" s="11" t="s">
        <v>9</v>
      </c>
      <c r="C8" s="12">
        <f>RAW_06_cash_flow_bridge!C8</f>
      </c>
      <c r="D8" s="11" t="s">
        <v>10</v>
      </c>
      <c r="E8" s="11" t="s">
        <v>15</v>
      </c>
      <c r="F8" s="22"/>
      <c r="G8" s="22"/>
      <c r="H8" s="22"/>
    </row>
    <row x14ac:dyDescent="0.25" r="9" customHeight="1" ht="17.25" customFormat="1" s="1">
      <c r="A9" s="10" t="s">
        <v>16</v>
      </c>
      <c r="B9" s="11" t="s">
        <v>9</v>
      </c>
      <c r="C9" s="12">
        <f>RAW_06_cash_flow_bridge!C9</f>
      </c>
      <c r="D9" s="11" t="s">
        <v>10</v>
      </c>
      <c r="E9" s="11" t="s">
        <v>17</v>
      </c>
      <c r="F9" s="22"/>
      <c r="G9" s="22"/>
      <c r="H9" s="22"/>
    </row>
    <row x14ac:dyDescent="0.25" r="10" customHeight="1" ht="17.25" customFormat="1" s="1">
      <c r="A10" s="10" t="s">
        <v>18</v>
      </c>
      <c r="B10" s="11" t="s">
        <v>9</v>
      </c>
      <c r="C10" s="12">
        <f>RAW_06_cash_flow_bridge!C10</f>
      </c>
      <c r="D10" s="11" t="s">
        <v>10</v>
      </c>
      <c r="E10" s="11" t="s">
        <v>19</v>
      </c>
      <c r="F10" s="22"/>
      <c r="G10" s="22"/>
      <c r="H10" s="22"/>
    </row>
    <row x14ac:dyDescent="0.25" r="11" customHeight="1" ht="17.25" customFormat="1" s="1">
      <c r="A11" s="10" t="s">
        <v>20</v>
      </c>
      <c r="B11" s="11" t="s">
        <v>9</v>
      </c>
      <c r="C11" s="12">
        <f>RAW_06_cash_flow_bridge!C11</f>
      </c>
      <c r="D11" s="11" t="s">
        <v>21</v>
      </c>
      <c r="E11" s="11" t="s">
        <v>22</v>
      </c>
      <c r="F11" s="22"/>
      <c r="G11" s="22"/>
      <c r="H11" s="22"/>
    </row>
    <row x14ac:dyDescent="0.25" r="12" customHeight="1" ht="17.25">
      <c r="A12" s="6"/>
      <c r="B12" s="3"/>
      <c r="C12" s="3"/>
      <c r="D12" s="3"/>
      <c r="E12" s="3"/>
      <c r="F12" s="23"/>
      <c r="G12" s="23"/>
      <c r="H12" s="23"/>
    </row>
    <row x14ac:dyDescent="0.25" r="13" customHeight="1" ht="17.25">
      <c r="A13" s="7" t="s">
        <v>23</v>
      </c>
      <c r="B13" s="3"/>
      <c r="C13" s="3"/>
      <c r="D13" s="3"/>
      <c r="E13" s="3"/>
      <c r="F13" s="23"/>
      <c r="G13" s="23"/>
      <c r="H13" s="23"/>
    </row>
    <row x14ac:dyDescent="0.25" r="14" customHeight="1" ht="17.25" customFormat="1" s="1">
      <c r="A14" s="8" t="s">
        <v>3</v>
      </c>
      <c r="B14" s="8" t="s">
        <v>4</v>
      </c>
      <c r="C14" s="8" t="s">
        <v>5</v>
      </c>
      <c r="D14" s="8" t="s">
        <v>6</v>
      </c>
      <c r="E14" s="8" t="s">
        <v>7</v>
      </c>
      <c r="F14" s="22"/>
      <c r="G14" s="22"/>
      <c r="H14" s="22"/>
    </row>
    <row x14ac:dyDescent="0.25" r="15" customHeight="1" ht="17.25" customFormat="1" s="1">
      <c r="A15" s="10" t="s">
        <v>24</v>
      </c>
      <c r="B15" s="11" t="s">
        <v>9</v>
      </c>
      <c r="C15" s="12">
        <f>RAW_06_cash_flow_bridge!C15</f>
      </c>
      <c r="D15" s="11" t="s">
        <v>10</v>
      </c>
      <c r="E15" s="11" t="s">
        <v>25</v>
      </c>
      <c r="F15" s="22"/>
      <c r="G15" s="22"/>
      <c r="H15" s="22"/>
    </row>
    <row x14ac:dyDescent="0.25" r="16" customHeight="1" ht="17.25" customFormat="1" s="1">
      <c r="A16" s="10" t="s">
        <v>26</v>
      </c>
      <c r="B16" s="11" t="s">
        <v>9</v>
      </c>
      <c r="C16" s="12">
        <f>RAW_06_cash_flow_bridge!C16</f>
      </c>
      <c r="D16" s="11" t="s">
        <v>10</v>
      </c>
      <c r="E16" s="11" t="s">
        <v>27</v>
      </c>
      <c r="F16" s="22"/>
      <c r="G16" s="22"/>
      <c r="H16" s="22"/>
    </row>
    <row x14ac:dyDescent="0.25" r="17" customHeight="1" ht="17.25" customFormat="1" s="1">
      <c r="A17" s="10" t="s">
        <v>28</v>
      </c>
      <c r="B17" s="11" t="s">
        <v>9</v>
      </c>
      <c r="C17" s="12">
        <f>RAW_06_cash_flow_bridge!C17</f>
      </c>
      <c r="D17" s="11" t="s">
        <v>10</v>
      </c>
      <c r="E17" s="11" t="s">
        <v>29</v>
      </c>
      <c r="F17" s="22"/>
      <c r="G17" s="22"/>
      <c r="H17" s="22"/>
    </row>
    <row x14ac:dyDescent="0.25" r="18" customHeight="1" ht="17.25" customFormat="1" s="1">
      <c r="A18" s="10" t="s">
        <v>30</v>
      </c>
      <c r="B18" s="11" t="s">
        <v>9</v>
      </c>
      <c r="C18" s="12">
        <f>RAW_06_cash_flow_bridge!C18</f>
      </c>
      <c r="D18" s="11" t="s">
        <v>10</v>
      </c>
      <c r="E18" s="11" t="s">
        <v>31</v>
      </c>
      <c r="F18" s="22"/>
      <c r="G18" s="22"/>
      <c r="H18" s="22"/>
    </row>
  </sheetData>
  <mergeCells count="2">
    <mergeCell ref="A1:H1"/>
    <mergeCell ref="A2:H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26"/>
  <sheetViews>
    <sheetView workbookViewId="0">
      <pane state="frozen" activePane="bottomLeft" topLeftCell="A4" ySplit="3" xSplit="0"/>
    </sheetView>
  </sheetViews>
  <sheetFormatPr defaultRowHeight="15" x14ac:dyDescent="0.25"/>
  <cols>
    <col min="1" max="1" style="48" width="8.005" customWidth="1" bestFit="1"/>
    <col min="2" max="2" style="14" width="24.005" customWidth="1" bestFit="1"/>
    <col min="3" max="3" style="14" width="14.005" customWidth="1" bestFit="1"/>
    <col min="4" max="4" style="14" width="52.005" customWidth="1" bestFit="1"/>
    <col min="5" max="5" style="14" width="24.005" customWidth="1" bestFit="1"/>
    <col min="6" max="6" style="37" width="12.43357142857143" customWidth="1" bestFit="1"/>
    <col min="7" max="7" style="37" width="12.43357142857143" customWidth="1" bestFit="1"/>
    <col min="8" max="8" style="37" width="12.43357142857143" customWidth="1" bestFit="1"/>
  </cols>
  <sheetData>
    <row x14ac:dyDescent="0.25" r="1" customHeight="1" ht="17.25" customFormat="1" s="1">
      <c r="A1" s="43" t="s">
        <v>231</v>
      </c>
      <c r="B1" s="3"/>
      <c r="C1" s="3"/>
      <c r="D1" s="3"/>
      <c r="E1" s="3"/>
      <c r="F1" s="22"/>
      <c r="G1" s="22"/>
      <c r="H1" s="22"/>
    </row>
    <row x14ac:dyDescent="0.25" r="2" customHeight="1" ht="17.25" customFormat="1" s="1">
      <c r="A2" s="44" t="s">
        <v>232</v>
      </c>
      <c r="B2" s="3"/>
      <c r="C2" s="3"/>
      <c r="D2" s="3"/>
      <c r="E2" s="3"/>
      <c r="F2" s="22"/>
      <c r="G2" s="22"/>
      <c r="H2" s="22"/>
    </row>
    <row x14ac:dyDescent="0.25" r="3" customHeight="1" ht="17.25">
      <c r="A3" s="45"/>
      <c r="B3" s="3"/>
      <c r="C3" s="3"/>
      <c r="D3" s="3"/>
      <c r="E3" s="3"/>
      <c r="F3" s="23"/>
      <c r="G3" s="23"/>
      <c r="H3" s="23"/>
    </row>
    <row x14ac:dyDescent="0.25" r="4" customHeight="1" ht="17.25" customFormat="1" s="1">
      <c r="A4" s="46" t="s">
        <v>233</v>
      </c>
      <c r="B4" s="8" t="s">
        <v>114</v>
      </c>
      <c r="C4" s="8" t="s">
        <v>234</v>
      </c>
      <c r="D4" s="8" t="s">
        <v>235</v>
      </c>
      <c r="E4" s="8" t="s">
        <v>236</v>
      </c>
      <c r="F4" s="22"/>
      <c r="G4" s="22"/>
      <c r="H4" s="22"/>
    </row>
    <row x14ac:dyDescent="0.25" r="5" customHeight="1" ht="17.25" customFormat="1" s="1">
      <c r="A5" s="47">
        <v>1</v>
      </c>
      <c r="B5" s="11" t="s">
        <v>237</v>
      </c>
      <c r="C5" s="11" t="s">
        <v>121</v>
      </c>
      <c r="D5" s="11" t="s">
        <v>238</v>
      </c>
      <c r="E5" s="11" t="s">
        <v>239</v>
      </c>
      <c r="F5" s="22"/>
      <c r="G5" s="22"/>
      <c r="H5" s="22"/>
    </row>
    <row x14ac:dyDescent="0.25" r="6" customHeight="1" ht="17.25" customFormat="1" s="1">
      <c r="A6" s="47">
        <v>3</v>
      </c>
      <c r="B6" s="11" t="s">
        <v>240</v>
      </c>
      <c r="C6" s="11" t="s">
        <v>126</v>
      </c>
      <c r="D6" s="11" t="s">
        <v>241</v>
      </c>
      <c r="E6" s="11" t="s">
        <v>242</v>
      </c>
      <c r="F6" s="22"/>
      <c r="G6" s="22"/>
      <c r="H6" s="22"/>
    </row>
    <row x14ac:dyDescent="0.25" r="7" customHeight="1" ht="17.25" customFormat="1" s="1">
      <c r="A7" s="47">
        <v>5</v>
      </c>
      <c r="B7" s="11" t="s">
        <v>243</v>
      </c>
      <c r="C7" s="11" t="s">
        <v>131</v>
      </c>
      <c r="D7" s="11" t="s">
        <v>244</v>
      </c>
      <c r="E7" s="11" t="s">
        <v>245</v>
      </c>
      <c r="F7" s="22"/>
      <c r="G7" s="22"/>
      <c r="H7" s="22"/>
    </row>
    <row x14ac:dyDescent="0.25" r="8" customHeight="1" ht="17.25" customFormat="1" s="1">
      <c r="A8" s="47">
        <v>6</v>
      </c>
      <c r="B8" s="11" t="s">
        <v>246</v>
      </c>
      <c r="C8" s="11" t="s">
        <v>136</v>
      </c>
      <c r="D8" s="11" t="s">
        <v>247</v>
      </c>
      <c r="E8" s="11" t="s">
        <v>248</v>
      </c>
      <c r="F8" s="22"/>
      <c r="G8" s="22"/>
      <c r="H8" s="22"/>
    </row>
    <row x14ac:dyDescent="0.25" r="9" customHeight="1" ht="17.25" customFormat="1" s="1">
      <c r="A9" s="47">
        <v>7</v>
      </c>
      <c r="B9" s="11" t="s">
        <v>249</v>
      </c>
      <c r="C9" s="11" t="s">
        <v>141</v>
      </c>
      <c r="D9" s="11" t="s">
        <v>250</v>
      </c>
      <c r="E9" s="11" t="s">
        <v>251</v>
      </c>
      <c r="F9" s="22"/>
      <c r="G9" s="22"/>
      <c r="H9" s="22"/>
    </row>
    <row x14ac:dyDescent="0.25" r="10" customHeight="1" ht="17.25" customFormat="1" s="1">
      <c r="A10" s="47">
        <v>8</v>
      </c>
      <c r="B10" s="11" t="s">
        <v>252</v>
      </c>
      <c r="C10" s="11" t="s">
        <v>146</v>
      </c>
      <c r="D10" s="11" t="s">
        <v>253</v>
      </c>
      <c r="E10" s="11" t="s">
        <v>254</v>
      </c>
      <c r="F10" s="22"/>
      <c r="G10" s="22"/>
      <c r="H10" s="22"/>
    </row>
    <row x14ac:dyDescent="0.25" r="11" customHeight="1" ht="17.25" customFormat="1" s="1">
      <c r="A11" s="47">
        <v>12</v>
      </c>
      <c r="B11" s="11" t="s">
        <v>255</v>
      </c>
      <c r="C11" s="11" t="s">
        <v>151</v>
      </c>
      <c r="D11" s="11" t="s">
        <v>256</v>
      </c>
      <c r="E11" s="11" t="s">
        <v>257</v>
      </c>
      <c r="F11" s="22"/>
      <c r="G11" s="22"/>
      <c r="H11" s="22"/>
    </row>
    <row x14ac:dyDescent="0.25" r="12" customHeight="1" ht="17.25" customFormat="1" s="1">
      <c r="A12" s="47">
        <v>25</v>
      </c>
      <c r="B12" s="11" t="s">
        <v>258</v>
      </c>
      <c r="C12" s="11" t="s">
        <v>259</v>
      </c>
      <c r="D12" s="11" t="s">
        <v>260</v>
      </c>
      <c r="E12" s="11" t="s">
        <v>261</v>
      </c>
      <c r="F12" s="22"/>
      <c r="G12" s="22"/>
      <c r="H12" s="22"/>
    </row>
    <row x14ac:dyDescent="0.25" r="13" customHeight="1" ht="17.25" customFormat="1" s="1">
      <c r="A13" s="47">
        <v>29</v>
      </c>
      <c r="B13" s="11" t="s">
        <v>262</v>
      </c>
      <c r="C13" s="11" t="s">
        <v>263</v>
      </c>
      <c r="D13" s="11" t="s">
        <v>264</v>
      </c>
      <c r="E13" s="11" t="s">
        <v>265</v>
      </c>
      <c r="F13" s="22"/>
      <c r="G13" s="22"/>
      <c r="H13" s="22"/>
    </row>
    <row x14ac:dyDescent="0.25" r="14" customHeight="1" ht="17.25" customFormat="1" s="1">
      <c r="A14" s="47">
        <v>31</v>
      </c>
      <c r="B14" s="11" t="s">
        <v>266</v>
      </c>
      <c r="C14" s="11" t="s">
        <v>267</v>
      </c>
      <c r="D14" s="11" t="s">
        <v>268</v>
      </c>
      <c r="E14" s="11" t="s">
        <v>269</v>
      </c>
      <c r="F14" s="22"/>
      <c r="G14" s="22"/>
      <c r="H14" s="22"/>
    </row>
    <row x14ac:dyDescent="0.25" r="15" customHeight="1" ht="17.25" customFormat="1" s="1">
      <c r="A15" s="47">
        <v>32</v>
      </c>
      <c r="B15" s="11" t="s">
        <v>270</v>
      </c>
      <c r="C15" s="11" t="s">
        <v>166</v>
      </c>
      <c r="D15" s="11" t="s">
        <v>271</v>
      </c>
      <c r="E15" s="11" t="s">
        <v>272</v>
      </c>
      <c r="F15" s="22"/>
      <c r="G15" s="22"/>
      <c r="H15" s="22"/>
    </row>
    <row x14ac:dyDescent="0.25" r="16" customHeight="1" ht="17.25" customFormat="1" s="1">
      <c r="A16" s="47">
        <v>33</v>
      </c>
      <c r="B16" s="11" t="s">
        <v>273</v>
      </c>
      <c r="C16" s="11" t="s">
        <v>171</v>
      </c>
      <c r="D16" s="11" t="s">
        <v>274</v>
      </c>
      <c r="E16" s="11" t="s">
        <v>275</v>
      </c>
      <c r="F16" s="22"/>
      <c r="G16" s="22"/>
      <c r="H16" s="22"/>
    </row>
    <row x14ac:dyDescent="0.25" r="17" customHeight="1" ht="17.25" customFormat="1" s="1">
      <c r="A17" s="47">
        <v>55</v>
      </c>
      <c r="B17" s="11" t="s">
        <v>276</v>
      </c>
      <c r="C17" s="11" t="s">
        <v>277</v>
      </c>
      <c r="D17" s="11" t="s">
        <v>278</v>
      </c>
      <c r="E17" s="11" t="s">
        <v>279</v>
      </c>
      <c r="F17" s="22"/>
      <c r="G17" s="22"/>
      <c r="H17" s="22"/>
    </row>
    <row x14ac:dyDescent="0.25" r="18" customHeight="1" ht="17.25" customFormat="1" s="1">
      <c r="A18" s="47">
        <v>56</v>
      </c>
      <c r="B18" s="11" t="s">
        <v>280</v>
      </c>
      <c r="C18" s="11" t="s">
        <v>180</v>
      </c>
      <c r="D18" s="11" t="s">
        <v>281</v>
      </c>
      <c r="E18" s="11" t="s">
        <v>282</v>
      </c>
      <c r="F18" s="22"/>
      <c r="G18" s="22"/>
      <c r="H18" s="22"/>
    </row>
    <row x14ac:dyDescent="0.25" r="19" customHeight="1" ht="17.25" customFormat="1" s="1">
      <c r="A19" s="47">
        <v>57</v>
      </c>
      <c r="B19" s="11" t="s">
        <v>283</v>
      </c>
      <c r="C19" s="11" t="s">
        <v>284</v>
      </c>
      <c r="D19" s="11" t="s">
        <v>285</v>
      </c>
      <c r="E19" s="11" t="s">
        <v>286</v>
      </c>
      <c r="F19" s="22"/>
      <c r="G19" s="22"/>
      <c r="H19" s="22"/>
    </row>
    <row x14ac:dyDescent="0.25" r="20" customHeight="1" ht="17.25" customFormat="1" s="1">
      <c r="A20" s="47">
        <v>79</v>
      </c>
      <c r="B20" s="11" t="s">
        <v>287</v>
      </c>
      <c r="C20" s="11" t="s">
        <v>288</v>
      </c>
      <c r="D20" s="11" t="s">
        <v>289</v>
      </c>
      <c r="E20" s="11" t="s">
        <v>286</v>
      </c>
      <c r="F20" s="22"/>
      <c r="G20" s="22"/>
      <c r="H20" s="22"/>
    </row>
    <row x14ac:dyDescent="0.25" r="21" customHeight="1" ht="17.25" customFormat="1" s="1">
      <c r="A21" s="47">
        <v>84</v>
      </c>
      <c r="B21" s="11" t="s">
        <v>290</v>
      </c>
      <c r="C21" s="11" t="s">
        <v>291</v>
      </c>
      <c r="D21" s="11" t="s">
        <v>292</v>
      </c>
      <c r="E21" s="11" t="s">
        <v>275</v>
      </c>
      <c r="F21" s="22"/>
      <c r="G21" s="22"/>
      <c r="H21" s="22"/>
    </row>
    <row x14ac:dyDescent="0.25" r="22" customHeight="1" ht="17.25" customFormat="1" s="1">
      <c r="A22" s="47">
        <v>86</v>
      </c>
      <c r="B22" s="11" t="s">
        <v>293</v>
      </c>
      <c r="C22" s="11" t="s">
        <v>294</v>
      </c>
      <c r="D22" s="11" t="s">
        <v>295</v>
      </c>
      <c r="E22" s="11" t="s">
        <v>245</v>
      </c>
      <c r="F22" s="22"/>
      <c r="G22" s="22"/>
      <c r="H22" s="22"/>
    </row>
    <row x14ac:dyDescent="0.25" r="23" customHeight="1" ht="17.25" customFormat="1" s="1">
      <c r="A23" s="47">
        <v>88</v>
      </c>
      <c r="B23" s="11" t="s">
        <v>296</v>
      </c>
      <c r="C23" s="11" t="s">
        <v>297</v>
      </c>
      <c r="D23" s="11" t="s">
        <v>298</v>
      </c>
      <c r="E23" s="11" t="s">
        <v>245</v>
      </c>
      <c r="F23" s="22"/>
      <c r="G23" s="22"/>
      <c r="H23" s="22"/>
    </row>
    <row x14ac:dyDescent="0.25" r="24" customHeight="1" ht="17.25" customFormat="1" s="1">
      <c r="A24" s="47">
        <v>90</v>
      </c>
      <c r="B24" s="11" t="s">
        <v>299</v>
      </c>
      <c r="C24" s="11" t="s">
        <v>300</v>
      </c>
      <c r="D24" s="11" t="s">
        <v>301</v>
      </c>
      <c r="E24" s="11" t="s">
        <v>272</v>
      </c>
      <c r="F24" s="22"/>
      <c r="G24" s="22"/>
      <c r="H24" s="22"/>
    </row>
    <row x14ac:dyDescent="0.25" r="25" customHeight="1" ht="17.25" customFormat="1" s="1">
      <c r="A25" s="47">
        <v>92</v>
      </c>
      <c r="B25" s="11" t="s">
        <v>302</v>
      </c>
      <c r="C25" s="11" t="s">
        <v>194</v>
      </c>
      <c r="D25" s="11" t="s">
        <v>303</v>
      </c>
      <c r="E25" s="11" t="s">
        <v>304</v>
      </c>
      <c r="F25" s="22"/>
      <c r="G25" s="22"/>
      <c r="H25" s="22"/>
    </row>
    <row x14ac:dyDescent="0.25" r="26" customHeight="1" ht="17.25" customFormat="1" s="1">
      <c r="A26" s="47">
        <v>93</v>
      </c>
      <c r="B26" s="11" t="s">
        <v>305</v>
      </c>
      <c r="C26" s="11" t="s">
        <v>199</v>
      </c>
      <c r="D26" s="11" t="s">
        <v>306</v>
      </c>
      <c r="E26" s="11" t="s">
        <v>307</v>
      </c>
      <c r="F26" s="22"/>
      <c r="G26" s="22"/>
      <c r="H26" s="22"/>
    </row>
  </sheetData>
  <mergeCells count="2">
    <mergeCell ref="A1:H1"/>
    <mergeCell ref="A2:H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3"/>
  <sheetViews>
    <sheetView workbookViewId="0">
      <pane state="frozen" activePane="bottomLeft" topLeftCell="A4" ySplit="3" xSplit="0"/>
    </sheetView>
  </sheetViews>
  <sheetFormatPr defaultRowHeight="15" x14ac:dyDescent="0.25"/>
  <cols>
    <col min="1" max="1" style="37" width="22.005" customWidth="1" bestFit="1"/>
    <col min="2" max="2" style="37" width="12.005" customWidth="1" bestFit="1"/>
    <col min="3" max="3" style="38" width="16.005" customWidth="1" bestFit="1"/>
    <col min="4" max="4" style="37" width="10.005" customWidth="1" bestFit="1"/>
    <col min="5" max="5" style="37" width="34.005" customWidth="1" bestFit="1"/>
    <col min="6" max="6" style="37" width="12.43357142857143" customWidth="1" bestFit="1"/>
    <col min="7" max="7" style="37" width="12.43357142857143" customWidth="1" bestFit="1"/>
    <col min="8" max="8" style="37" width="12.43357142857143" customWidth="1" bestFit="1"/>
  </cols>
  <sheetData>
    <row x14ac:dyDescent="0.25" r="1" customHeight="1" ht="17.25" customFormat="1" s="1">
      <c r="A1" s="2" t="s">
        <v>214</v>
      </c>
      <c r="B1" s="22"/>
      <c r="C1" s="20"/>
      <c r="D1" s="22"/>
      <c r="E1" s="22"/>
      <c r="F1" s="22"/>
      <c r="G1" s="22"/>
      <c r="H1" s="22"/>
    </row>
    <row x14ac:dyDescent="0.25" r="2" customHeight="1" ht="17.25" customFormat="1" s="1">
      <c r="A2" s="5" t="s">
        <v>215</v>
      </c>
      <c r="B2" s="22"/>
      <c r="C2" s="20"/>
      <c r="D2" s="22"/>
      <c r="E2" s="22"/>
      <c r="F2" s="22"/>
      <c r="G2" s="22"/>
      <c r="H2" s="22"/>
    </row>
    <row x14ac:dyDescent="0.25" r="3" customHeight="1" ht="17.25">
      <c r="A3" s="23"/>
      <c r="B3" s="23"/>
      <c r="C3" s="24"/>
      <c r="D3" s="23"/>
      <c r="E3" s="23"/>
      <c r="F3" s="23"/>
      <c r="G3" s="23"/>
      <c r="H3" s="23"/>
    </row>
    <row x14ac:dyDescent="0.25" r="4" customHeight="1" ht="17.25">
      <c r="A4" s="7" t="s">
        <v>216</v>
      </c>
      <c r="B4" s="23"/>
      <c r="C4" s="24"/>
      <c r="D4" s="23"/>
      <c r="E4" s="23"/>
      <c r="F4" s="23"/>
      <c r="G4" s="23"/>
      <c r="H4" s="23"/>
    </row>
    <row x14ac:dyDescent="0.25" r="5" customHeight="1" ht="17.25" customFormat="1" s="1">
      <c r="A5" s="8" t="s">
        <v>217</v>
      </c>
      <c r="B5" s="8" t="s">
        <v>218</v>
      </c>
      <c r="C5" s="9" t="s">
        <v>5</v>
      </c>
      <c r="D5" s="8" t="s">
        <v>6</v>
      </c>
      <c r="E5" s="8" t="s">
        <v>7</v>
      </c>
      <c r="F5" s="22"/>
      <c r="G5" s="22"/>
      <c r="H5" s="22"/>
    </row>
    <row x14ac:dyDescent="0.25" r="6" customHeight="1" ht="17.25" customFormat="1" s="1">
      <c r="A6" s="10" t="s">
        <v>219</v>
      </c>
      <c r="B6" s="11" t="s">
        <v>220</v>
      </c>
      <c r="C6" s="12">
        <v>238.8</v>
      </c>
      <c r="D6" s="11" t="s">
        <v>10</v>
      </c>
      <c r="E6" s="11" t="s">
        <v>221</v>
      </c>
      <c r="F6" s="22"/>
      <c r="G6" s="22"/>
      <c r="H6" s="22"/>
    </row>
    <row x14ac:dyDescent="0.25" r="7" customHeight="1" ht="17.25" customFormat="1" s="1">
      <c r="A7" s="10" t="s">
        <v>222</v>
      </c>
      <c r="B7" s="11" t="s">
        <v>220</v>
      </c>
      <c r="C7" s="12">
        <v>243.9</v>
      </c>
      <c r="D7" s="11" t="s">
        <v>10</v>
      </c>
      <c r="E7" s="11" t="s">
        <v>223</v>
      </c>
      <c r="F7" s="22"/>
      <c r="G7" s="22"/>
      <c r="H7" s="22"/>
    </row>
    <row x14ac:dyDescent="0.25" r="8" customHeight="1" ht="17.25" customFormat="1" s="1">
      <c r="A8" s="10" t="s">
        <v>224</v>
      </c>
      <c r="B8" s="11" t="s">
        <v>220</v>
      </c>
      <c r="C8" s="12">
        <v>0</v>
      </c>
      <c r="D8" s="11" t="s">
        <v>225</v>
      </c>
      <c r="E8" s="11" t="s">
        <v>226</v>
      </c>
      <c r="F8" s="22"/>
      <c r="G8" s="22"/>
      <c r="H8" s="22"/>
    </row>
    <row x14ac:dyDescent="0.25" r="9" customHeight="1" ht="17.25" customFormat="1" s="1">
      <c r="A9" s="10" t="s">
        <v>227</v>
      </c>
      <c r="B9" s="11" t="s">
        <v>220</v>
      </c>
      <c r="C9" s="12">
        <v>0</v>
      </c>
      <c r="D9" s="11" t="s">
        <v>21</v>
      </c>
      <c r="E9" s="11" t="s">
        <v>228</v>
      </c>
      <c r="F9" s="22"/>
      <c r="G9" s="22"/>
      <c r="H9" s="22"/>
    </row>
    <row x14ac:dyDescent="0.25" r="10" customHeight="1" ht="17.25">
      <c r="A10" s="23"/>
      <c r="B10" s="23"/>
      <c r="C10" s="24"/>
      <c r="D10" s="23"/>
      <c r="E10" s="23"/>
      <c r="F10" s="23"/>
      <c r="G10" s="23"/>
      <c r="H10" s="23"/>
    </row>
    <row x14ac:dyDescent="0.25" r="11" customHeight="1" ht="17.25">
      <c r="A11" s="7" t="s">
        <v>229</v>
      </c>
      <c r="B11" s="23"/>
      <c r="C11" s="24"/>
      <c r="D11" s="23"/>
      <c r="E11" s="23"/>
      <c r="F11" s="23"/>
      <c r="G11" s="23"/>
      <c r="H11" s="23"/>
    </row>
    <row x14ac:dyDescent="0.25" r="12" customHeight="1" ht="17.25">
      <c r="A12" s="42" t="s">
        <v>230</v>
      </c>
      <c r="B12" s="28"/>
      <c r="C12" s="26"/>
      <c r="D12" s="28"/>
      <c r="E12" s="28"/>
      <c r="F12" s="28"/>
      <c r="G12" s="28"/>
      <c r="H12" s="29"/>
    </row>
    <row x14ac:dyDescent="0.25" r="13" customHeight="1" ht="17.25">
      <c r="A13" s="30"/>
      <c r="B13" s="33"/>
      <c r="C13" s="31"/>
      <c r="D13" s="33"/>
      <c r="E13" s="33"/>
      <c r="F13" s="33"/>
      <c r="G13" s="33"/>
      <c r="H13" s="34"/>
    </row>
  </sheetData>
  <mergeCells count="3">
    <mergeCell ref="A1:H1"/>
    <mergeCell ref="A2:H2"/>
    <mergeCell ref="A12:H1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1"/>
  <sheetViews>
    <sheetView workbookViewId="0">
      <pane state="frozen" activePane="bottomLeft" topLeftCell="A4" ySplit="3" xSplit="0"/>
    </sheetView>
  </sheetViews>
  <sheetFormatPr defaultRowHeight="15" x14ac:dyDescent="0.25"/>
  <cols>
    <col min="1" max="1" style="13" width="24.005" customWidth="1" bestFit="1"/>
    <col min="2" max="2" style="14" width="14.005" customWidth="1" bestFit="1"/>
    <col min="3" max="3" style="15" width="16.005" customWidth="1" bestFit="1"/>
    <col min="4" max="4" style="14" width="10.005" customWidth="1" bestFit="1"/>
    <col min="5" max="5" style="14" width="28.005" customWidth="1" bestFit="1"/>
    <col min="6" max="6" style="37" width="12.43357142857143" customWidth="1" bestFit="1"/>
    <col min="7" max="7" style="37" width="12.43357142857143" customWidth="1" bestFit="1"/>
    <col min="8" max="8" style="37" width="12.43357142857143" customWidth="1" bestFit="1"/>
  </cols>
  <sheetData>
    <row x14ac:dyDescent="0.25" r="1" customHeight="1" ht="17.25" customFormat="1" s="1">
      <c r="A1" s="2" t="s">
        <v>205</v>
      </c>
      <c r="B1" s="3"/>
      <c r="C1" s="4"/>
      <c r="D1" s="3"/>
      <c r="E1" s="3"/>
      <c r="F1" s="22"/>
      <c r="G1" s="22"/>
      <c r="H1" s="22"/>
    </row>
    <row x14ac:dyDescent="0.25" r="2" customHeight="1" ht="17.25" customFormat="1" s="1">
      <c r="A2" s="5" t="s">
        <v>206</v>
      </c>
      <c r="B2" s="3"/>
      <c r="C2" s="4"/>
      <c r="D2" s="3"/>
      <c r="E2" s="3"/>
      <c r="F2" s="22"/>
      <c r="G2" s="22"/>
      <c r="H2" s="22"/>
    </row>
    <row x14ac:dyDescent="0.25" r="3" customHeight="1" ht="17.25">
      <c r="A3" s="6"/>
      <c r="B3" s="3"/>
      <c r="C3" s="4"/>
      <c r="D3" s="3"/>
      <c r="E3" s="3"/>
      <c r="F3" s="23"/>
      <c r="G3" s="23"/>
      <c r="H3" s="23"/>
    </row>
    <row x14ac:dyDescent="0.25" r="4" customHeight="1" ht="17.25">
      <c r="A4" s="7" t="s">
        <v>72</v>
      </c>
      <c r="B4" s="3"/>
      <c r="C4" s="4"/>
      <c r="D4" s="3"/>
      <c r="E4" s="3"/>
      <c r="F4" s="23"/>
      <c r="G4" s="23"/>
      <c r="H4" s="23"/>
    </row>
    <row x14ac:dyDescent="0.25" r="5" customHeight="1" ht="17.25" customFormat="1" s="1">
      <c r="A5" s="8" t="s">
        <v>3</v>
      </c>
      <c r="B5" s="8" t="s">
        <v>4</v>
      </c>
      <c r="C5" s="9" t="s">
        <v>5</v>
      </c>
      <c r="D5" s="8" t="s">
        <v>6</v>
      </c>
      <c r="E5" s="8" t="s">
        <v>35</v>
      </c>
      <c r="F5" s="22"/>
      <c r="G5" s="22"/>
      <c r="H5" s="22"/>
    </row>
    <row x14ac:dyDescent="0.25" r="6" customHeight="1" ht="17.25" customFormat="1" s="1">
      <c r="A6" s="10" t="s">
        <v>207</v>
      </c>
      <c r="B6" s="11" t="s">
        <v>9</v>
      </c>
      <c r="C6" s="12">
        <v>3642.5768006561</v>
      </c>
      <c r="D6" s="11" t="s">
        <v>10</v>
      </c>
      <c r="E6" s="11" t="s">
        <v>208</v>
      </c>
      <c r="F6" s="22"/>
      <c r="G6" s="22"/>
      <c r="H6" s="22"/>
    </row>
    <row x14ac:dyDescent="0.25" r="7" customHeight="1" ht="17.25" customFormat="1" s="1">
      <c r="A7" s="10" t="s">
        <v>209</v>
      </c>
      <c r="B7" s="11" t="s">
        <v>9</v>
      </c>
      <c r="C7" s="12">
        <v>740.0226377873</v>
      </c>
      <c r="D7" s="11" t="s">
        <v>10</v>
      </c>
      <c r="E7" s="11" t="s">
        <v>210</v>
      </c>
      <c r="F7" s="22"/>
      <c r="G7" s="22"/>
      <c r="H7" s="22"/>
    </row>
    <row x14ac:dyDescent="0.25" r="8" customHeight="1" ht="17.25" customFormat="1" s="1">
      <c r="A8" s="10" t="s">
        <v>55</v>
      </c>
      <c r="B8" s="11" t="s">
        <v>9</v>
      </c>
      <c r="C8" s="12">
        <v>2902.5541628688</v>
      </c>
      <c r="D8" s="11" t="s">
        <v>10</v>
      </c>
      <c r="E8" s="11" t="s">
        <v>211</v>
      </c>
      <c r="F8" s="22"/>
      <c r="G8" s="22"/>
      <c r="H8" s="22"/>
    </row>
    <row x14ac:dyDescent="0.25" r="9" customHeight="1" ht="17.25" customFormat="1" s="1">
      <c r="A9" s="10" t="s">
        <v>73</v>
      </c>
      <c r="B9" s="11" t="s">
        <v>9</v>
      </c>
      <c r="C9" s="12">
        <v>3211.6054296106</v>
      </c>
      <c r="D9" s="11" t="s">
        <v>10</v>
      </c>
      <c r="E9" s="11" t="s">
        <v>74</v>
      </c>
      <c r="F9" s="22"/>
      <c r="G9" s="22"/>
      <c r="H9" s="22"/>
    </row>
    <row x14ac:dyDescent="0.25" r="10" customHeight="1" ht="17.25" customFormat="1" s="1">
      <c r="A10" s="10" t="s">
        <v>75</v>
      </c>
      <c r="B10" s="11" t="s">
        <v>9</v>
      </c>
      <c r="C10" s="12">
        <v>0.9037704744510686</v>
      </c>
      <c r="D10" s="11" t="s">
        <v>76</v>
      </c>
      <c r="E10" s="11" t="s">
        <v>212</v>
      </c>
      <c r="F10" s="22"/>
      <c r="G10" s="22"/>
      <c r="H10" s="22"/>
    </row>
    <row x14ac:dyDescent="0.25" r="11" customHeight="1" ht="17.25" customFormat="1" s="1">
      <c r="A11" s="10" t="s">
        <v>78</v>
      </c>
      <c r="B11" s="11" t="s">
        <v>9</v>
      </c>
      <c r="C11" s="12">
        <v>1.134191880195493</v>
      </c>
      <c r="D11" s="11" t="s">
        <v>76</v>
      </c>
      <c r="E11" s="11" t="s">
        <v>213</v>
      </c>
      <c r="F11" s="22"/>
      <c r="G11" s="22"/>
      <c r="H11" s="22"/>
    </row>
  </sheetData>
  <mergeCells count="2">
    <mergeCell ref="A1:H1"/>
    <mergeCell ref="A2:H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22"/>
  <sheetViews>
    <sheetView workbookViewId="0">
      <pane state="frozen" activePane="bottomLeft" topLeftCell="A4" ySplit="3" xSplit="0"/>
    </sheetView>
  </sheetViews>
  <sheetFormatPr defaultRowHeight="15" x14ac:dyDescent="0.25"/>
  <cols>
    <col min="1" max="1" style="41" width="14.005" customWidth="1" bestFit="1"/>
    <col min="2" max="2" style="14" width="22.005" customWidth="1" bestFit="1"/>
    <col min="3" max="3" style="14" width="52.005" customWidth="1" bestFit="1"/>
    <col min="4" max="4" style="14" width="14.005" customWidth="1" bestFit="1"/>
    <col min="5" max="5" style="14" width="18.005" customWidth="1" bestFit="1"/>
    <col min="6" max="6" style="37" width="12.43357142857143" customWidth="1" bestFit="1"/>
    <col min="7" max="7" style="37" width="12.43357142857143" customWidth="1" bestFit="1"/>
    <col min="8" max="8" style="37" width="12.43357142857143" customWidth="1" bestFit="1"/>
  </cols>
  <sheetData>
    <row x14ac:dyDescent="0.25" r="1" customHeight="1" ht="17.25" customFormat="1" s="1">
      <c r="A1" s="2" t="s">
        <v>111</v>
      </c>
      <c r="B1" s="3"/>
      <c r="C1" s="3"/>
      <c r="D1" s="3"/>
      <c r="E1" s="3"/>
      <c r="F1" s="22"/>
      <c r="G1" s="22"/>
      <c r="H1" s="22"/>
    </row>
    <row x14ac:dyDescent="0.25" r="2" customHeight="1" ht="17.25" customFormat="1" s="1">
      <c r="A2" s="5" t="s">
        <v>112</v>
      </c>
      <c r="B2" s="3"/>
      <c r="C2" s="3"/>
      <c r="D2" s="3"/>
      <c r="E2" s="3"/>
      <c r="F2" s="22"/>
      <c r="G2" s="22"/>
      <c r="H2" s="22"/>
    </row>
    <row x14ac:dyDescent="0.25" r="3" customHeight="1" ht="17.25">
      <c r="A3" s="40"/>
      <c r="B3" s="3"/>
      <c r="C3" s="3"/>
      <c r="D3" s="3"/>
      <c r="E3" s="3"/>
      <c r="F3" s="23"/>
      <c r="G3" s="23"/>
      <c r="H3" s="23"/>
    </row>
    <row x14ac:dyDescent="0.25" r="4" customHeight="1" ht="17.25" customFormat="1" s="1">
      <c r="A4" s="8" t="s">
        <v>113</v>
      </c>
      <c r="B4" s="8" t="s">
        <v>114</v>
      </c>
      <c r="C4" s="8" t="s">
        <v>115</v>
      </c>
      <c r="D4" s="8" t="s">
        <v>116</v>
      </c>
      <c r="E4" s="8" t="s">
        <v>117</v>
      </c>
      <c r="F4" s="22"/>
      <c r="G4" s="22"/>
      <c r="H4" s="22"/>
    </row>
    <row x14ac:dyDescent="0.25" r="5" customHeight="1" ht="17.25" customFormat="1" s="1">
      <c r="A5" s="10" t="s">
        <v>118</v>
      </c>
      <c r="B5" s="11" t="s">
        <v>119</v>
      </c>
      <c r="C5" s="11" t="s">
        <v>120</v>
      </c>
      <c r="D5" s="11" t="s">
        <v>121</v>
      </c>
      <c r="E5" s="11" t="s">
        <v>122</v>
      </c>
      <c r="F5" s="22"/>
      <c r="G5" s="22"/>
      <c r="H5" s="22"/>
    </row>
    <row x14ac:dyDescent="0.25" r="6" customHeight="1" ht="17.25" customFormat="1" s="1">
      <c r="A6" s="10" t="s">
        <v>123</v>
      </c>
      <c r="B6" s="11" t="s">
        <v>124</v>
      </c>
      <c r="C6" s="11" t="s">
        <v>125</v>
      </c>
      <c r="D6" s="11" t="s">
        <v>126</v>
      </c>
      <c r="E6" s="11" t="s">
        <v>127</v>
      </c>
      <c r="F6" s="22"/>
      <c r="G6" s="22"/>
      <c r="H6" s="22"/>
    </row>
    <row x14ac:dyDescent="0.25" r="7" customHeight="1" ht="17.25" customFormat="1" s="1">
      <c r="A7" s="10" t="s">
        <v>128</v>
      </c>
      <c r="B7" s="11" t="s">
        <v>129</v>
      </c>
      <c r="C7" s="11" t="s">
        <v>130</v>
      </c>
      <c r="D7" s="11" t="s">
        <v>131</v>
      </c>
      <c r="E7" s="11" t="s">
        <v>132</v>
      </c>
      <c r="F7" s="22"/>
      <c r="G7" s="22"/>
      <c r="H7" s="22"/>
    </row>
    <row x14ac:dyDescent="0.25" r="8" customHeight="1" ht="17.25" customFormat="1" s="1">
      <c r="A8" s="10" t="s">
        <v>133</v>
      </c>
      <c r="B8" s="11" t="s">
        <v>134</v>
      </c>
      <c r="C8" s="11" t="s">
        <v>135</v>
      </c>
      <c r="D8" s="11" t="s">
        <v>136</v>
      </c>
      <c r="E8" s="11" t="s">
        <v>137</v>
      </c>
      <c r="F8" s="22"/>
      <c r="G8" s="22"/>
      <c r="H8" s="22"/>
    </row>
    <row x14ac:dyDescent="0.25" r="9" customHeight="1" ht="17.25" customFormat="1" s="1">
      <c r="A9" s="10" t="s">
        <v>138</v>
      </c>
      <c r="B9" s="11" t="s">
        <v>139</v>
      </c>
      <c r="C9" s="11" t="s">
        <v>140</v>
      </c>
      <c r="D9" s="11" t="s">
        <v>141</v>
      </c>
      <c r="E9" s="11" t="s">
        <v>142</v>
      </c>
      <c r="F9" s="22"/>
      <c r="G9" s="22"/>
      <c r="H9" s="22"/>
    </row>
    <row x14ac:dyDescent="0.25" r="10" customHeight="1" ht="17.25" customFormat="1" s="1">
      <c r="A10" s="10" t="s">
        <v>143</v>
      </c>
      <c r="B10" s="11" t="s">
        <v>144</v>
      </c>
      <c r="C10" s="11" t="s">
        <v>145</v>
      </c>
      <c r="D10" s="11" t="s">
        <v>146</v>
      </c>
      <c r="E10" s="11" t="s">
        <v>147</v>
      </c>
      <c r="F10" s="22"/>
      <c r="G10" s="22"/>
      <c r="H10" s="22"/>
    </row>
    <row x14ac:dyDescent="0.25" r="11" customHeight="1" ht="17.25" customFormat="1" s="1">
      <c r="A11" s="10" t="s">
        <v>148</v>
      </c>
      <c r="B11" s="11" t="s">
        <v>149</v>
      </c>
      <c r="C11" s="11" t="s">
        <v>150</v>
      </c>
      <c r="D11" s="11" t="s">
        <v>151</v>
      </c>
      <c r="E11" s="11" t="s">
        <v>152</v>
      </c>
      <c r="F11" s="22"/>
      <c r="G11" s="22"/>
      <c r="H11" s="22"/>
    </row>
    <row x14ac:dyDescent="0.25" r="12" customHeight="1" ht="17.25" customFormat="1" s="1">
      <c r="A12" s="10" t="s">
        <v>153</v>
      </c>
      <c r="B12" s="11" t="s">
        <v>154</v>
      </c>
      <c r="C12" s="11" t="s">
        <v>155</v>
      </c>
      <c r="D12" s="11" t="s">
        <v>156</v>
      </c>
      <c r="E12" s="11" t="s">
        <v>157</v>
      </c>
      <c r="F12" s="22"/>
      <c r="G12" s="22"/>
      <c r="H12" s="22"/>
    </row>
    <row x14ac:dyDescent="0.25" r="13" customHeight="1" ht="17.25" customFormat="1" s="1">
      <c r="A13" s="10" t="s">
        <v>158</v>
      </c>
      <c r="B13" s="11" t="s">
        <v>159</v>
      </c>
      <c r="C13" s="11" t="s">
        <v>160</v>
      </c>
      <c r="D13" s="11" t="s">
        <v>161</v>
      </c>
      <c r="E13" s="11" t="s">
        <v>162</v>
      </c>
      <c r="F13" s="22"/>
      <c r="G13" s="22"/>
      <c r="H13" s="22"/>
    </row>
    <row x14ac:dyDescent="0.25" r="14" customHeight="1" ht="17.25" customFormat="1" s="1">
      <c r="A14" s="10" t="s">
        <v>163</v>
      </c>
      <c r="B14" s="11" t="s">
        <v>164</v>
      </c>
      <c r="C14" s="11" t="s">
        <v>165</v>
      </c>
      <c r="D14" s="11" t="s">
        <v>166</v>
      </c>
      <c r="E14" s="11" t="s">
        <v>167</v>
      </c>
      <c r="F14" s="22"/>
      <c r="G14" s="22"/>
      <c r="H14" s="22"/>
    </row>
    <row x14ac:dyDescent="0.25" r="15" customHeight="1" ht="17.25" customFormat="1" s="1">
      <c r="A15" s="10" t="s">
        <v>168</v>
      </c>
      <c r="B15" s="11" t="s">
        <v>169</v>
      </c>
      <c r="C15" s="11" t="s">
        <v>170</v>
      </c>
      <c r="D15" s="11" t="s">
        <v>171</v>
      </c>
      <c r="E15" s="11" t="s">
        <v>172</v>
      </c>
      <c r="F15" s="22"/>
      <c r="G15" s="22"/>
      <c r="H15" s="22"/>
    </row>
    <row x14ac:dyDescent="0.25" r="16" customHeight="1" ht="17.25" customFormat="1" s="1">
      <c r="A16" s="10" t="s">
        <v>173</v>
      </c>
      <c r="B16" s="11" t="s">
        <v>174</v>
      </c>
      <c r="C16" s="11" t="s">
        <v>175</v>
      </c>
      <c r="D16" s="11" t="s">
        <v>176</v>
      </c>
      <c r="E16" s="11" t="s">
        <v>41</v>
      </c>
      <c r="F16" s="22"/>
      <c r="G16" s="22"/>
      <c r="H16" s="22"/>
    </row>
    <row x14ac:dyDescent="0.25" r="17" customHeight="1" ht="17.25" customFormat="1" s="1">
      <c r="A17" s="10" t="s">
        <v>177</v>
      </c>
      <c r="B17" s="11" t="s">
        <v>178</v>
      </c>
      <c r="C17" s="11" t="s">
        <v>179</v>
      </c>
      <c r="D17" s="11" t="s">
        <v>180</v>
      </c>
      <c r="E17" s="11" t="s">
        <v>181</v>
      </c>
      <c r="F17" s="22"/>
      <c r="G17" s="22"/>
      <c r="H17" s="22"/>
    </row>
    <row x14ac:dyDescent="0.25" r="18" customHeight="1" ht="17.25" customFormat="1" s="1">
      <c r="A18" s="10" t="s">
        <v>182</v>
      </c>
      <c r="B18" s="11" t="s">
        <v>183</v>
      </c>
      <c r="C18" s="11" t="s">
        <v>184</v>
      </c>
      <c r="D18" s="11" t="s">
        <v>185</v>
      </c>
      <c r="E18" s="11" t="s">
        <v>186</v>
      </c>
      <c r="F18" s="22"/>
      <c r="G18" s="22"/>
      <c r="H18" s="22"/>
    </row>
    <row x14ac:dyDescent="0.25" r="19" customHeight="1" ht="17.25" customFormat="1" s="1">
      <c r="A19" s="10" t="s">
        <v>187</v>
      </c>
      <c r="B19" s="11" t="s">
        <v>188</v>
      </c>
      <c r="C19" s="11" t="s">
        <v>189</v>
      </c>
      <c r="D19" s="11" t="s">
        <v>72</v>
      </c>
      <c r="E19" s="11" t="s">
        <v>190</v>
      </c>
      <c r="F19" s="22"/>
      <c r="G19" s="22"/>
      <c r="H19" s="22"/>
    </row>
    <row x14ac:dyDescent="0.25" r="20" customHeight="1" ht="17.25" customFormat="1" s="1">
      <c r="A20" s="10" t="s">
        <v>191</v>
      </c>
      <c r="B20" s="11" t="s">
        <v>192</v>
      </c>
      <c r="C20" s="11" t="s">
        <v>193</v>
      </c>
      <c r="D20" s="11" t="s">
        <v>194</v>
      </c>
      <c r="E20" s="11" t="s">
        <v>195</v>
      </c>
      <c r="F20" s="22"/>
      <c r="G20" s="22"/>
      <c r="H20" s="22"/>
    </row>
    <row x14ac:dyDescent="0.25" r="21" customHeight="1" ht="17.25" customFormat="1" s="1">
      <c r="A21" s="10" t="s">
        <v>196</v>
      </c>
      <c r="B21" s="11" t="s">
        <v>197</v>
      </c>
      <c r="C21" s="11" t="s">
        <v>198</v>
      </c>
      <c r="D21" s="11" t="s">
        <v>199</v>
      </c>
      <c r="E21" s="11" t="s">
        <v>200</v>
      </c>
      <c r="F21" s="22"/>
      <c r="G21" s="22"/>
      <c r="H21" s="22"/>
    </row>
    <row x14ac:dyDescent="0.25" r="22" customHeight="1" ht="17.25" customFormat="1" s="1">
      <c r="A22" s="10" t="s">
        <v>201</v>
      </c>
      <c r="B22" s="11" t="s">
        <v>202</v>
      </c>
      <c r="C22" s="11" t="s">
        <v>203</v>
      </c>
      <c r="D22" s="11" t="s">
        <v>204</v>
      </c>
      <c r="E22" s="11" t="s">
        <v>57</v>
      </c>
      <c r="F22" s="22"/>
      <c r="G22" s="22"/>
      <c r="H22" s="22"/>
    </row>
  </sheetData>
  <mergeCells count="2">
    <mergeCell ref="A1:H1"/>
    <mergeCell ref="A2:H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25"/>
  <sheetViews>
    <sheetView workbookViewId="0">
      <pane state="frozen" activePane="bottomLeft" topLeftCell="A4" ySplit="3" xSplit="0"/>
    </sheetView>
  </sheetViews>
  <sheetFormatPr defaultRowHeight="15" x14ac:dyDescent="0.25"/>
  <cols>
    <col min="1" max="1" style="37" width="12.43357142857143" customWidth="1" bestFit="1"/>
    <col min="2" max="2" style="38" width="12.43357142857143" customWidth="1" bestFit="1"/>
    <col min="3" max="3" style="38" width="12.43357142857143" customWidth="1" bestFit="1"/>
    <col min="4" max="4" style="39" width="12.43357142857143" customWidth="1" bestFit="1"/>
    <col min="5" max="5" style="37" width="12.43357142857143" customWidth="1" bestFit="1"/>
    <col min="6" max="6" style="37" width="12.43357142857143" customWidth="1" bestFit="1"/>
    <col min="7" max="7" style="37" width="12.43357142857143" customWidth="1" bestFit="1"/>
    <col min="8" max="8" style="37" width="12.43357142857143" customWidth="1" bestFit="1"/>
  </cols>
  <sheetData>
    <row x14ac:dyDescent="0.25" r="1" customHeight="1" ht="17.25" customFormat="1" s="1">
      <c r="A1" s="2" t="s">
        <v>82</v>
      </c>
      <c r="B1" s="20"/>
      <c r="C1" s="20"/>
      <c r="D1" s="21"/>
      <c r="E1" s="22"/>
      <c r="F1" s="22"/>
      <c r="G1" s="22"/>
      <c r="H1" s="22"/>
    </row>
    <row x14ac:dyDescent="0.25" r="2" customHeight="1" ht="17.25" customFormat="1" s="1">
      <c r="A2" s="5" t="s">
        <v>83</v>
      </c>
      <c r="B2" s="20"/>
      <c r="C2" s="20"/>
      <c r="D2" s="21"/>
      <c r="E2" s="22"/>
      <c r="F2" s="22"/>
      <c r="G2" s="22"/>
      <c r="H2" s="22"/>
    </row>
    <row x14ac:dyDescent="0.25" r="3" customHeight="1" ht="17.25">
      <c r="A3" s="23"/>
      <c r="B3" s="24"/>
      <c r="C3" s="24"/>
      <c r="D3" s="25"/>
      <c r="E3" s="23"/>
      <c r="F3" s="23"/>
      <c r="G3" s="23"/>
      <c r="H3" s="23"/>
    </row>
    <row x14ac:dyDescent="0.25" r="4" customHeight="1" ht="17.25">
      <c r="A4" s="7" t="s">
        <v>84</v>
      </c>
      <c r="B4" s="24"/>
      <c r="C4" s="24"/>
      <c r="D4" s="25"/>
      <c r="E4" s="23"/>
      <c r="F4" s="23"/>
      <c r="G4" s="23"/>
      <c r="H4" s="23"/>
    </row>
    <row x14ac:dyDescent="0.25" r="5" customHeight="1" ht="17.25">
      <c r="A5" s="17" t="s">
        <v>85</v>
      </c>
      <c r="B5" s="26"/>
      <c r="C5" s="26"/>
      <c r="D5" s="27"/>
      <c r="E5" s="28"/>
      <c r="F5" s="28"/>
      <c r="G5" s="28"/>
      <c r="H5" s="29"/>
    </row>
    <row x14ac:dyDescent="0.25" r="6" customHeight="1" ht="17.25">
      <c r="A6" s="30"/>
      <c r="B6" s="31"/>
      <c r="C6" s="31"/>
      <c r="D6" s="32"/>
      <c r="E6" s="33"/>
      <c r="F6" s="33"/>
      <c r="G6" s="33"/>
      <c r="H6" s="34"/>
    </row>
    <row x14ac:dyDescent="0.25" r="7" customHeight="1" ht="17.25">
      <c r="A7" s="23"/>
      <c r="B7" s="24"/>
      <c r="C7" s="24"/>
      <c r="D7" s="25"/>
      <c r="E7" s="23"/>
      <c r="F7" s="23"/>
      <c r="G7" s="23"/>
      <c r="H7" s="23"/>
    </row>
    <row x14ac:dyDescent="0.25" r="8" customHeight="1" ht="17.25">
      <c r="A8" s="7" t="s">
        <v>86</v>
      </c>
      <c r="B8" s="24"/>
      <c r="C8" s="24"/>
      <c r="D8" s="25"/>
      <c r="E8" s="23"/>
      <c r="F8" s="23"/>
      <c r="G8" s="23"/>
      <c r="H8" s="23"/>
    </row>
    <row x14ac:dyDescent="0.25" r="9" customHeight="1" ht="17.25">
      <c r="A9" s="10" t="s">
        <v>87</v>
      </c>
      <c r="B9" s="26"/>
      <c r="C9" s="26"/>
      <c r="D9" s="27"/>
      <c r="E9" s="28"/>
      <c r="F9" s="28"/>
      <c r="G9" s="28"/>
      <c r="H9" s="29"/>
    </row>
    <row x14ac:dyDescent="0.25" r="10" customHeight="1" ht="17.25">
      <c r="A10" s="30"/>
      <c r="B10" s="31"/>
      <c r="C10" s="31"/>
      <c r="D10" s="32"/>
      <c r="E10" s="33"/>
      <c r="F10" s="33"/>
      <c r="G10" s="33"/>
      <c r="H10" s="34"/>
    </row>
    <row x14ac:dyDescent="0.25" r="11" customHeight="1" ht="17.25">
      <c r="A11" s="23"/>
      <c r="B11" s="24"/>
      <c r="C11" s="24"/>
      <c r="D11" s="25"/>
      <c r="E11" s="23"/>
      <c r="F11" s="23"/>
      <c r="G11" s="23"/>
      <c r="H11" s="23"/>
    </row>
    <row x14ac:dyDescent="0.25" r="12" customHeight="1" ht="17.25">
      <c r="A12" s="7" t="s">
        <v>88</v>
      </c>
      <c r="B12" s="24"/>
      <c r="C12" s="24"/>
      <c r="D12" s="25"/>
      <c r="E12" s="23"/>
      <c r="F12" s="23"/>
      <c r="G12" s="23"/>
      <c r="H12" s="23"/>
    </row>
    <row x14ac:dyDescent="0.25" r="13" customHeight="1" ht="17.25" customFormat="1" s="1">
      <c r="A13" s="8" t="s">
        <v>89</v>
      </c>
      <c r="B13" s="9" t="s">
        <v>9</v>
      </c>
      <c r="C13" s="9" t="s">
        <v>90</v>
      </c>
      <c r="D13" s="35" t="s">
        <v>91</v>
      </c>
      <c r="E13" s="8" t="s">
        <v>92</v>
      </c>
      <c r="F13" s="22"/>
      <c r="G13" s="22"/>
      <c r="H13" s="22"/>
    </row>
    <row x14ac:dyDescent="0.25" r="14" customHeight="1" ht="17.25" customFormat="1" s="1">
      <c r="A14" s="10" t="s">
        <v>93</v>
      </c>
      <c r="B14" s="12">
        <v>1053.2330440914</v>
      </c>
      <c r="C14" s="12">
        <v>1427.787640798</v>
      </c>
      <c r="D14" s="36">
        <v>-0.2623321466049804</v>
      </c>
      <c r="E14" s="11" t="s">
        <v>94</v>
      </c>
      <c r="F14" s="22"/>
      <c r="G14" s="22"/>
      <c r="H14" s="22"/>
    </row>
    <row x14ac:dyDescent="0.25" r="15" customHeight="1" ht="17.25" customFormat="1" s="1">
      <c r="A15" s="10" t="s">
        <v>95</v>
      </c>
      <c r="B15" s="12">
        <v>-119.4657368812</v>
      </c>
      <c r="C15" s="12">
        <v>-98.5249959884</v>
      </c>
      <c r="D15" s="36">
        <v>-0.2125424181216459</v>
      </c>
      <c r="E15" s="11" t="s">
        <v>96</v>
      </c>
      <c r="F15" s="22"/>
      <c r="G15" s="22"/>
      <c r="H15" s="22"/>
    </row>
    <row x14ac:dyDescent="0.25" r="16" customHeight="1" ht="17.25" customFormat="1" s="1">
      <c r="A16" s="10" t="s">
        <v>97</v>
      </c>
      <c r="B16" s="12">
        <v>-30.3870459278</v>
      </c>
      <c r="C16" s="12">
        <v>-51.763258111</v>
      </c>
      <c r="D16" s="36">
        <v>0.4129611033633416</v>
      </c>
      <c r="E16" s="11" t="s">
        <v>98</v>
      </c>
      <c r="F16" s="22"/>
      <c r="G16" s="22"/>
      <c r="H16" s="22"/>
    </row>
    <row x14ac:dyDescent="0.25" r="17" customHeight="1" ht="17.25" customFormat="1" s="1">
      <c r="A17" s="10" t="s">
        <v>99</v>
      </c>
      <c r="B17" s="12">
        <v>693.4756277666</v>
      </c>
      <c r="C17" s="12">
        <v>740.0226377873</v>
      </c>
      <c r="D17" s="12">
        <v>0.514779700323822</v>
      </c>
      <c r="E17" s="11" t="s">
        <v>100</v>
      </c>
      <c r="F17" s="22"/>
      <c r="G17" s="22"/>
      <c r="H17" s="22"/>
    </row>
    <row x14ac:dyDescent="0.25" r="18" customHeight="1" ht="17.25" customFormat="1" s="1">
      <c r="A18" s="10" t="s">
        <v>101</v>
      </c>
      <c r="B18" s="12">
        <v>1347.1308742951</v>
      </c>
      <c r="C18" s="12">
        <v>1460.4556838992</v>
      </c>
      <c r="D18" s="36"/>
      <c r="E18" s="11" t="s">
        <v>102</v>
      </c>
      <c r="F18" s="22"/>
      <c r="G18" s="22"/>
      <c r="H18" s="22"/>
    </row>
    <row x14ac:dyDescent="0.25" r="19" customHeight="1" ht="17.25" customFormat="1" s="1">
      <c r="A19" s="10" t="s">
        <v>103</v>
      </c>
      <c r="B19" s="12">
        <v>4625.1854059268</v>
      </c>
      <c r="C19" s="12">
        <v>5190.0943984678</v>
      </c>
      <c r="D19" s="36">
        <v>0.03295181655911592</v>
      </c>
      <c r="E19" s="11" t="s">
        <v>104</v>
      </c>
      <c r="F19" s="22"/>
      <c r="G19" s="22"/>
      <c r="H19" s="22"/>
    </row>
    <row x14ac:dyDescent="0.25" r="20" customHeight="1" ht="17.25" customFormat="1" s="1">
      <c r="A20" s="10" t="s">
        <v>105</v>
      </c>
      <c r="B20" s="12">
        <v>2152.5981990802</v>
      </c>
      <c r="C20" s="12">
        <v>2213.595907895</v>
      </c>
      <c r="D20" s="36">
        <v>0.1158983427288391</v>
      </c>
      <c r="E20" s="11" t="s">
        <v>106</v>
      </c>
      <c r="F20" s="22"/>
      <c r="G20" s="22"/>
      <c r="H20" s="22"/>
    </row>
    <row x14ac:dyDescent="0.25" r="21" customHeight="1" ht="17.25" customFormat="1" s="1">
      <c r="A21" s="10" t="s">
        <v>107</v>
      </c>
      <c r="B21" s="12">
        <v>1580.0311617993</v>
      </c>
      <c r="C21" s="12">
        <v>1923.6111255718</v>
      </c>
      <c r="D21" s="36">
        <v>0.445826569081096</v>
      </c>
      <c r="E21" s="11" t="s">
        <v>108</v>
      </c>
      <c r="F21" s="22"/>
      <c r="G21" s="22"/>
      <c r="H21" s="22"/>
    </row>
    <row x14ac:dyDescent="0.25" r="22" customHeight="1" ht="17.25">
      <c r="A22" s="23"/>
      <c r="B22" s="24"/>
      <c r="C22" s="24"/>
      <c r="D22" s="25"/>
      <c r="E22" s="23"/>
      <c r="F22" s="23"/>
      <c r="G22" s="23"/>
      <c r="H22" s="23"/>
    </row>
    <row x14ac:dyDescent="0.25" r="23" customHeight="1" ht="17.25">
      <c r="A23" s="7" t="s">
        <v>109</v>
      </c>
      <c r="B23" s="24"/>
      <c r="C23" s="24"/>
      <c r="D23" s="25"/>
      <c r="E23" s="23"/>
      <c r="F23" s="23"/>
      <c r="G23" s="23"/>
      <c r="H23" s="23"/>
    </row>
    <row x14ac:dyDescent="0.25" r="24" customHeight="1" ht="17.25">
      <c r="A24" s="10" t="s">
        <v>110</v>
      </c>
      <c r="B24" s="26"/>
      <c r="C24" s="26"/>
      <c r="D24" s="27"/>
      <c r="E24" s="28"/>
      <c r="F24" s="28"/>
      <c r="G24" s="28"/>
      <c r="H24" s="29"/>
    </row>
    <row x14ac:dyDescent="0.25" r="25" customHeight="1" ht="17.25">
      <c r="A25" s="30"/>
      <c r="B25" s="31"/>
      <c r="C25" s="31"/>
      <c r="D25" s="32"/>
      <c r="E25" s="33"/>
      <c r="F25" s="33"/>
      <c r="G25" s="33"/>
      <c r="H25" s="3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34"/>
  <sheetViews>
    <sheetView workbookViewId="0">
      <pane state="frozen" activePane="bottomLeft" topLeftCell="A4" ySplit="3" xSplit="0"/>
    </sheetView>
  </sheetViews>
  <sheetFormatPr defaultRowHeight="15" x14ac:dyDescent="0.25"/>
  <cols>
    <col min="1" max="1" style="13" width="12.43357142857143" customWidth="1" bestFit="1"/>
    <col min="2" max="2" style="14" width="12.43357142857143" customWidth="1" bestFit="1"/>
    <col min="3" max="3" style="15" width="12.43357142857143" customWidth="1" bestFit="1"/>
    <col min="4" max="4" style="14" width="12.43357142857143" customWidth="1" bestFit="1"/>
    <col min="5" max="5" style="14" width="12.43357142857143" customWidth="1" bestFit="1"/>
  </cols>
  <sheetData>
    <row x14ac:dyDescent="0.25" r="1" customHeight="1" ht="17.25" customFormat="1" s="1">
      <c r="A1" s="2" t="s">
        <v>32</v>
      </c>
      <c r="B1" s="3"/>
      <c r="C1" s="4"/>
      <c r="D1" s="3"/>
      <c r="E1" s="3"/>
    </row>
    <row x14ac:dyDescent="0.25" r="2" customHeight="1" ht="17.25" customFormat="1" s="1">
      <c r="A2" s="5" t="s">
        <v>33</v>
      </c>
      <c r="B2" s="3"/>
      <c r="C2" s="4"/>
      <c r="D2" s="3"/>
      <c r="E2" s="3"/>
    </row>
    <row x14ac:dyDescent="0.25" r="3" customHeight="1" ht="17.25">
      <c r="A3" s="6"/>
      <c r="B3" s="3"/>
      <c r="C3" s="4"/>
      <c r="D3" s="3"/>
      <c r="E3" s="3"/>
    </row>
    <row x14ac:dyDescent="0.25" r="4" customHeight="1" ht="17.25">
      <c r="A4" s="7" t="s">
        <v>34</v>
      </c>
      <c r="B4" s="3"/>
      <c r="C4" s="4"/>
      <c r="D4" s="3"/>
      <c r="E4" s="3"/>
    </row>
    <row x14ac:dyDescent="0.25" r="5" customHeight="1" ht="17.25" customFormat="1" s="1">
      <c r="A5" s="8" t="s">
        <v>3</v>
      </c>
      <c r="B5" s="8" t="s">
        <v>4</v>
      </c>
      <c r="C5" s="9" t="s">
        <v>5</v>
      </c>
      <c r="D5" s="8" t="s">
        <v>6</v>
      </c>
      <c r="E5" s="8" t="s">
        <v>35</v>
      </c>
    </row>
    <row x14ac:dyDescent="0.25" r="6" customHeight="1" ht="17.25" customFormat="1" s="1">
      <c r="A6" s="10" t="s">
        <v>36</v>
      </c>
      <c r="B6" s="11" t="s">
        <v>9</v>
      </c>
      <c r="C6" s="12">
        <v>1039.5369928947</v>
      </c>
      <c r="D6" s="11" t="s">
        <v>10</v>
      </c>
      <c r="E6" s="11" t="s">
        <v>37</v>
      </c>
    </row>
    <row x14ac:dyDescent="0.25" r="7" customHeight="1" ht="17.25" customFormat="1" s="1">
      <c r="A7" s="10" t="s">
        <v>38</v>
      </c>
      <c r="B7" s="11" t="s">
        <v>9</v>
      </c>
      <c r="C7" s="12">
        <v>273.5871747395</v>
      </c>
      <c r="D7" s="11" t="s">
        <v>10</v>
      </c>
      <c r="E7" s="11" t="s">
        <v>39</v>
      </c>
    </row>
    <row x14ac:dyDescent="0.25" r="8" customHeight="1" ht="17.25" customFormat="1" s="1">
      <c r="A8" s="10" t="s">
        <v>40</v>
      </c>
      <c r="B8" s="11" t="s">
        <v>9</v>
      </c>
      <c r="C8" s="12">
        <v>17.9031151004</v>
      </c>
      <c r="D8" s="11" t="s">
        <v>10</v>
      </c>
      <c r="E8" s="11" t="s">
        <v>41</v>
      </c>
    </row>
    <row x14ac:dyDescent="0.25" r="9" customHeight="1" ht="17.25" customFormat="1" s="1">
      <c r="A9" s="10" t="s">
        <v>42</v>
      </c>
      <c r="B9" s="11" t="s">
        <v>9</v>
      </c>
      <c r="C9" s="12">
        <v>16.1035915605</v>
      </c>
      <c r="D9" s="11" t="s">
        <v>10</v>
      </c>
      <c r="E9" s="11" t="s">
        <v>43</v>
      </c>
    </row>
    <row x14ac:dyDescent="0.25" r="10" customHeight="1" ht="17.25" customFormat="1" s="1">
      <c r="A10" s="10" t="s">
        <v>44</v>
      </c>
      <c r="B10" s="11" t="s">
        <v>9</v>
      </c>
      <c r="C10" s="12">
        <v>1347.1308742951</v>
      </c>
      <c r="D10" s="11" t="s">
        <v>10</v>
      </c>
      <c r="E10" s="11" t="s">
        <v>45</v>
      </c>
    </row>
    <row x14ac:dyDescent="0.25" r="11" customHeight="1" ht="17.25">
      <c r="A11" s="6"/>
      <c r="B11" s="3"/>
      <c r="C11" s="4"/>
      <c r="D11" s="3"/>
      <c r="E11" s="3"/>
    </row>
    <row x14ac:dyDescent="0.25" r="12" customHeight="1" ht="17.25">
      <c r="A12" s="7" t="s">
        <v>46</v>
      </c>
      <c r="B12" s="3"/>
      <c r="C12" s="4"/>
      <c r="D12" s="3"/>
      <c r="E12" s="3"/>
    </row>
    <row x14ac:dyDescent="0.25" r="13" customHeight="1" ht="17.25" customFormat="1" s="1">
      <c r="A13" s="8" t="s">
        <v>3</v>
      </c>
      <c r="B13" s="8" t="s">
        <v>4</v>
      </c>
      <c r="C13" s="9" t="s">
        <v>5</v>
      </c>
      <c r="D13" s="8" t="s">
        <v>6</v>
      </c>
      <c r="E13" s="8" t="s">
        <v>35</v>
      </c>
    </row>
    <row x14ac:dyDescent="0.25" r="14" customHeight="1" ht="17.25" customFormat="1" s="1">
      <c r="A14" s="10" t="s">
        <v>47</v>
      </c>
      <c r="B14" s="11" t="s">
        <v>9</v>
      </c>
      <c r="C14" s="12">
        <v>1780.5131876928</v>
      </c>
      <c r="D14" s="11" t="s">
        <v>10</v>
      </c>
      <c r="E14" s="11" t="s">
        <v>48</v>
      </c>
    </row>
    <row x14ac:dyDescent="0.25" r="15" customHeight="1" ht="17.25" customFormat="1" s="1">
      <c r="A15" s="10" t="s">
        <v>49</v>
      </c>
      <c r="B15" s="11" t="s">
        <v>9</v>
      </c>
      <c r="C15" s="12">
        <v>436.0203846745</v>
      </c>
      <c r="D15" s="11" t="s">
        <v>10</v>
      </c>
      <c r="E15" s="11" t="s">
        <v>50</v>
      </c>
    </row>
    <row x14ac:dyDescent="0.25" r="16" customHeight="1" ht="17.25" customFormat="1" s="1">
      <c r="A16" s="10" t="s">
        <v>51</v>
      </c>
      <c r="B16" s="11" t="s">
        <v>9</v>
      </c>
      <c r="C16" s="12">
        <v>157.5385518266</v>
      </c>
      <c r="D16" s="11" t="s">
        <v>10</v>
      </c>
      <c r="E16" s="11" t="s">
        <v>52</v>
      </c>
    </row>
    <row x14ac:dyDescent="0.25" r="17" customHeight="1" ht="17.25" customFormat="1" s="1">
      <c r="A17" s="10" t="s">
        <v>53</v>
      </c>
      <c r="B17" s="11" t="s">
        <v>9</v>
      </c>
      <c r="C17" s="12">
        <v>3960.31591041455</v>
      </c>
      <c r="D17" s="11" t="s">
        <v>10</v>
      </c>
      <c r="E17" s="11" t="s">
        <v>54</v>
      </c>
    </row>
    <row x14ac:dyDescent="0.25" r="18" customHeight="1" ht="17.25" customFormat="1" s="1">
      <c r="A18" s="10" t="s">
        <v>55</v>
      </c>
      <c r="B18" s="11" t="s">
        <v>9</v>
      </c>
      <c r="C18" s="12">
        <v>2902.5541628688</v>
      </c>
      <c r="D18" s="11" t="s">
        <v>10</v>
      </c>
      <c r="E18" s="11" t="s">
        <v>56</v>
      </c>
    </row>
    <row x14ac:dyDescent="0.25" r="19" customHeight="1" ht="17.25">
      <c r="A19" s="6"/>
      <c r="B19" s="3"/>
      <c r="C19" s="4"/>
      <c r="D19" s="3"/>
      <c r="E19" s="3"/>
    </row>
    <row x14ac:dyDescent="0.25" r="20" customHeight="1" ht="17.25">
      <c r="A20" s="7" t="s">
        <v>57</v>
      </c>
      <c r="B20" s="3"/>
      <c r="C20" s="4"/>
      <c r="D20" s="3"/>
      <c r="E20" s="3"/>
    </row>
    <row x14ac:dyDescent="0.25" r="21" customHeight="1" ht="17.25" customFormat="1" s="1">
      <c r="A21" s="8" t="s">
        <v>3</v>
      </c>
      <c r="B21" s="8" t="s">
        <v>4</v>
      </c>
      <c r="C21" s="9" t="s">
        <v>5</v>
      </c>
      <c r="D21" s="8" t="s">
        <v>6</v>
      </c>
      <c r="E21" s="8" t="s">
        <v>35</v>
      </c>
    </row>
    <row x14ac:dyDescent="0.25" r="22" customHeight="1" ht="17.25" customFormat="1" s="1">
      <c r="A22" s="10" t="s">
        <v>58</v>
      </c>
      <c r="B22" s="11" t="s">
        <v>9</v>
      </c>
      <c r="C22" s="12">
        <v>69.1140025002</v>
      </c>
      <c r="D22" s="11" t="s">
        <v>10</v>
      </c>
      <c r="E22" s="11" t="s">
        <v>59</v>
      </c>
    </row>
    <row x14ac:dyDescent="0.25" r="23" customHeight="1" ht="17.25" customFormat="1" s="1">
      <c r="A23" s="10" t="s">
        <v>60</v>
      </c>
      <c r="B23" s="11" t="s">
        <v>9</v>
      </c>
      <c r="C23" s="12">
        <v>3.4588098844</v>
      </c>
      <c r="D23" s="11" t="s">
        <v>10</v>
      </c>
      <c r="E23" s="11" t="s">
        <v>61</v>
      </c>
    </row>
    <row x14ac:dyDescent="0.25" r="24" customHeight="1" ht="17.25" customFormat="1" s="1">
      <c r="A24" s="10" t="s">
        <v>62</v>
      </c>
      <c r="B24" s="11" t="s">
        <v>9</v>
      </c>
      <c r="C24" s="12">
        <v>72.5728123846</v>
      </c>
      <c r="D24" s="11" t="s">
        <v>10</v>
      </c>
      <c r="E24" s="11" t="s">
        <v>63</v>
      </c>
    </row>
    <row x14ac:dyDescent="0.25" r="25" customHeight="1" ht="17.25" customFormat="1" s="1">
      <c r="A25" s="10" t="s">
        <v>64</v>
      </c>
      <c r="B25" s="11" t="s">
        <v>9</v>
      </c>
      <c r="C25" s="12">
        <v>-32.145453267</v>
      </c>
      <c r="D25" s="11" t="s">
        <v>10</v>
      </c>
      <c r="E25" s="11" t="s">
        <v>65</v>
      </c>
    </row>
    <row x14ac:dyDescent="0.25" r="26" customHeight="1" ht="17.25" customFormat="1" s="1">
      <c r="A26" s="10" t="s">
        <v>66</v>
      </c>
      <c r="B26" s="11" t="s">
        <v>9</v>
      </c>
      <c r="C26" s="12">
        <v>104.7182656516</v>
      </c>
      <c r="D26" s="11" t="s">
        <v>10</v>
      </c>
      <c r="E26" s="11" t="s">
        <v>67</v>
      </c>
    </row>
    <row x14ac:dyDescent="0.25" r="27" customHeight="1" ht="17.25" customFormat="1" s="1">
      <c r="A27" s="16" t="s">
        <v>68</v>
      </c>
      <c r="B27" s="17" t="s">
        <v>69</v>
      </c>
      <c r="C27" s="18">
        <v>0.05288379413178607</v>
      </c>
      <c r="D27" s="19" t="s">
        <v>70</v>
      </c>
      <c r="E27" s="17" t="s">
        <v>71</v>
      </c>
    </row>
    <row x14ac:dyDescent="0.25" r="28" customHeight="1" ht="17.25">
      <c r="A28" s="6"/>
      <c r="B28" s="3"/>
      <c r="C28" s="4"/>
      <c r="D28" s="3"/>
      <c r="E28" s="3"/>
    </row>
    <row x14ac:dyDescent="0.25" r="29" customHeight="1" ht="17.25">
      <c r="A29" s="7" t="s">
        <v>72</v>
      </c>
      <c r="B29" s="3"/>
      <c r="C29" s="4"/>
      <c r="D29" s="3"/>
      <c r="E29" s="3"/>
    </row>
    <row x14ac:dyDescent="0.25" r="30" customHeight="1" ht="17.25" customFormat="1" s="1">
      <c r="A30" s="8" t="s">
        <v>3</v>
      </c>
      <c r="B30" s="8" t="s">
        <v>4</v>
      </c>
      <c r="C30" s="9" t="s">
        <v>5</v>
      </c>
      <c r="D30" s="8" t="s">
        <v>6</v>
      </c>
      <c r="E30" s="8" t="s">
        <v>35</v>
      </c>
    </row>
    <row x14ac:dyDescent="0.25" r="31" customHeight="1" ht="17.25" customFormat="1" s="1">
      <c r="A31" s="10" t="s">
        <v>73</v>
      </c>
      <c r="B31" s="11" t="s">
        <v>9</v>
      </c>
      <c r="C31" s="12">
        <v>3211.6054296106</v>
      </c>
      <c r="D31" s="11" t="s">
        <v>10</v>
      </c>
      <c r="E31" s="11" t="s">
        <v>74</v>
      </c>
    </row>
    <row x14ac:dyDescent="0.25" r="32" customHeight="1" ht="17.25" customFormat="1" s="1">
      <c r="A32" s="10" t="s">
        <v>75</v>
      </c>
      <c r="B32" s="11" t="s">
        <v>9</v>
      </c>
      <c r="C32" s="12">
        <v>0.9037704744510686</v>
      </c>
      <c r="D32" s="11" t="s">
        <v>76</v>
      </c>
      <c r="E32" s="11" t="s">
        <v>77</v>
      </c>
    </row>
    <row x14ac:dyDescent="0.25" r="33" customHeight="1" ht="17.25" customFormat="1" s="1">
      <c r="A33" s="10" t="s">
        <v>78</v>
      </c>
      <c r="B33" s="11" t="s">
        <v>9</v>
      </c>
      <c r="C33" s="12">
        <v>1.134191880195493</v>
      </c>
      <c r="D33" s="11" t="s">
        <v>76</v>
      </c>
      <c r="E33" s="11" t="s">
        <v>79</v>
      </c>
    </row>
    <row x14ac:dyDescent="0.25" r="34" customHeight="1" ht="17.25" customFormat="1" s="1">
      <c r="A34" s="10" t="s">
        <v>80</v>
      </c>
      <c r="B34" s="11" t="s">
        <v>9</v>
      </c>
      <c r="C34" s="12">
        <v>103.944</v>
      </c>
      <c r="D34" s="11" t="s">
        <v>10</v>
      </c>
      <c r="E34" s="11" t="s">
        <v>81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8"/>
  <sheetViews>
    <sheetView workbookViewId="0">
      <pane state="frozen" activePane="bottomLeft" topLeftCell="A4" ySplit="3" xSplit="0"/>
    </sheetView>
  </sheetViews>
  <sheetFormatPr defaultRowHeight="15" x14ac:dyDescent="0.25"/>
  <cols>
    <col min="1" max="1" style="13" width="12.43357142857143" customWidth="1" bestFit="1"/>
    <col min="2" max="2" style="14" width="12.43357142857143" customWidth="1" bestFit="1"/>
    <col min="3" max="3" style="15" width="12.43357142857143" customWidth="1" bestFit="1"/>
    <col min="4" max="4" style="14" width="12.43357142857143" customWidth="1" bestFit="1"/>
    <col min="5" max="5" style="14" width="12.43357142857143" customWidth="1" bestFit="1"/>
  </cols>
  <sheetData>
    <row x14ac:dyDescent="0.25" r="1" customHeight="1" ht="17.25" customFormat="1" s="1">
      <c r="A1" s="2" t="s">
        <v>0</v>
      </c>
      <c r="B1" s="3"/>
      <c r="C1" s="4"/>
      <c r="D1" s="3"/>
      <c r="E1" s="3"/>
    </row>
    <row x14ac:dyDescent="0.25" r="2" customHeight="1" ht="17.25" customFormat="1" s="1">
      <c r="A2" s="5" t="s">
        <v>1</v>
      </c>
      <c r="B2" s="3"/>
      <c r="C2" s="4"/>
      <c r="D2" s="3"/>
      <c r="E2" s="3"/>
    </row>
    <row x14ac:dyDescent="0.25" r="3" customHeight="1" ht="17.25">
      <c r="A3" s="6"/>
      <c r="B3" s="3"/>
      <c r="C3" s="4"/>
      <c r="D3" s="3"/>
      <c r="E3" s="3"/>
    </row>
    <row x14ac:dyDescent="0.25" r="4" customHeight="1" ht="17.25">
      <c r="A4" s="7" t="s">
        <v>2</v>
      </c>
      <c r="B4" s="3"/>
      <c r="C4" s="4"/>
      <c r="D4" s="3"/>
      <c r="E4" s="3"/>
    </row>
    <row x14ac:dyDescent="0.25" r="5" customHeight="1" ht="17.25" customFormat="1" s="1">
      <c r="A5" s="8" t="s">
        <v>3</v>
      </c>
      <c r="B5" s="8" t="s">
        <v>4</v>
      </c>
      <c r="C5" s="9" t="s">
        <v>5</v>
      </c>
      <c r="D5" s="8" t="s">
        <v>6</v>
      </c>
      <c r="E5" s="8" t="s">
        <v>7</v>
      </c>
    </row>
    <row x14ac:dyDescent="0.25" r="6" customHeight="1" ht="17.25" customFormat="1" s="1">
      <c r="A6" s="10" t="s">
        <v>8</v>
      </c>
      <c r="B6" s="11" t="s">
        <v>9</v>
      </c>
      <c r="C6" s="12">
        <v>-119.4657368812</v>
      </c>
      <c r="D6" s="11" t="s">
        <v>10</v>
      </c>
      <c r="E6" s="11" t="s">
        <v>11</v>
      </c>
    </row>
    <row x14ac:dyDescent="0.25" r="7" customHeight="1" ht="17.25" customFormat="1" s="1">
      <c r="A7" s="10" t="s">
        <v>12</v>
      </c>
      <c r="B7" s="11" t="s">
        <v>9</v>
      </c>
      <c r="C7" s="12">
        <v>51.4518472878</v>
      </c>
      <c r="D7" s="11" t="s">
        <v>10</v>
      </c>
      <c r="E7" s="11" t="s">
        <v>13</v>
      </c>
    </row>
    <row x14ac:dyDescent="0.25" r="8" customHeight="1" ht="17.25" customFormat="1" s="1">
      <c r="A8" s="10" t="s">
        <v>14</v>
      </c>
      <c r="B8" s="11" t="s">
        <v>9</v>
      </c>
      <c r="C8" s="12">
        <v>3.0165134647</v>
      </c>
      <c r="D8" s="11" t="s">
        <v>10</v>
      </c>
      <c r="E8" s="11" t="s">
        <v>15</v>
      </c>
    </row>
    <row x14ac:dyDescent="0.25" r="9" customHeight="1" ht="17.25" customFormat="1" s="1">
      <c r="A9" s="10" t="s">
        <v>16</v>
      </c>
      <c r="B9" s="11" t="s">
        <v>9</v>
      </c>
      <c r="C9" s="12">
        <v>-5.6798009753</v>
      </c>
      <c r="D9" s="11" t="s">
        <v>10</v>
      </c>
      <c r="E9" s="11" t="s">
        <v>17</v>
      </c>
    </row>
    <row x14ac:dyDescent="0.25" r="10" customHeight="1" ht="17.25" customFormat="1" s="1">
      <c r="A10" s="10" t="s">
        <v>18</v>
      </c>
      <c r="B10" s="11" t="s">
        <v>9</v>
      </c>
      <c r="C10" s="12">
        <v>-30.3870459278</v>
      </c>
      <c r="D10" s="11" t="s">
        <v>10</v>
      </c>
      <c r="E10" s="11" t="s">
        <v>19</v>
      </c>
    </row>
    <row x14ac:dyDescent="0.25" r="11" customHeight="1" ht="17.25" customFormat="1" s="1">
      <c r="A11" s="10" t="s">
        <v>20</v>
      </c>
      <c r="B11" s="11" t="s">
        <v>9</v>
      </c>
      <c r="C11" s="12">
        <v>0</v>
      </c>
      <c r="D11" s="11" t="s">
        <v>21</v>
      </c>
      <c r="E11" s="11" t="s">
        <v>22</v>
      </c>
    </row>
    <row x14ac:dyDescent="0.25" r="12" customHeight="1" ht="17.25">
      <c r="A12" s="6"/>
      <c r="B12" s="3"/>
      <c r="C12" s="4"/>
      <c r="D12" s="3"/>
      <c r="E12" s="3"/>
    </row>
    <row x14ac:dyDescent="0.25" r="13" customHeight="1" ht="17.25">
      <c r="A13" s="7" t="s">
        <v>23</v>
      </c>
      <c r="B13" s="3"/>
      <c r="C13" s="4"/>
      <c r="D13" s="3"/>
      <c r="E13" s="3"/>
    </row>
    <row x14ac:dyDescent="0.25" r="14" customHeight="1" ht="17.25" customFormat="1" s="1">
      <c r="A14" s="8" t="s">
        <v>3</v>
      </c>
      <c r="B14" s="8" t="s">
        <v>4</v>
      </c>
      <c r="C14" s="9" t="s">
        <v>5</v>
      </c>
      <c r="D14" s="8" t="s">
        <v>6</v>
      </c>
      <c r="E14" s="8" t="s">
        <v>7</v>
      </c>
    </row>
    <row x14ac:dyDescent="0.25" r="15" customHeight="1" ht="17.25" customFormat="1" s="1">
      <c r="A15" s="10" t="s">
        <v>24</v>
      </c>
      <c r="B15" s="11" t="s">
        <v>9</v>
      </c>
      <c r="C15" s="12">
        <v>231.1562353941</v>
      </c>
      <c r="D15" s="11" t="s">
        <v>10</v>
      </c>
      <c r="E15" s="11" t="s">
        <v>25</v>
      </c>
    </row>
    <row x14ac:dyDescent="0.25" r="16" customHeight="1" ht="17.25" customFormat="1" s="1">
      <c r="A16" s="10" t="s">
        <v>26</v>
      </c>
      <c r="B16" s="11" t="s">
        <v>9</v>
      </c>
      <c r="C16" s="12">
        <v>282.00501805875</v>
      </c>
      <c r="D16" s="11" t="s">
        <v>10</v>
      </c>
      <c r="E16" s="11" t="s">
        <v>27</v>
      </c>
    </row>
    <row x14ac:dyDescent="0.25" r="17" customHeight="1" ht="17.25" customFormat="1" s="1">
      <c r="A17" s="10" t="s">
        <v>28</v>
      </c>
      <c r="B17" s="11" t="s">
        <v>9</v>
      </c>
      <c r="C17" s="12">
        <v>709.607559414</v>
      </c>
      <c r="D17" s="11" t="s">
        <v>10</v>
      </c>
      <c r="E17" s="11" t="s">
        <v>29</v>
      </c>
    </row>
    <row x14ac:dyDescent="0.25" r="18" customHeight="1" ht="17.25" customFormat="1" s="1">
      <c r="A18" s="10" t="s">
        <v>30</v>
      </c>
      <c r="B18" s="11" t="s">
        <v>9</v>
      </c>
      <c r="C18" s="12">
        <v>175.441666927</v>
      </c>
      <c r="D18" s="11" t="s">
        <v>10</v>
      </c>
      <c r="E18" s="11" t="s">
        <v>31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14</vt:i4>
      </vt:variant>
    </vt:vector>
  </HeadingPairs>
  <TitlesOfParts>
    <vt:vector baseType="lpstr" size="14">
      <vt:lpstr>00_overview</vt:lpstr>
      <vt:lpstr>01_kpi_dashboard</vt:lpstr>
      <vt:lpstr>02_financial_summary</vt:lpstr>
      <vt:lpstr>03_debt_profile</vt:lpstr>
      <vt:lpstr>04_liquidity_and_covenants</vt:lpstr>
      <vt:lpstr>05_asset_quality</vt:lpstr>
      <vt:lpstr>06_cash_flow_bridge</vt:lpstr>
      <vt:lpstr>07_notes_map</vt:lpstr>
      <vt:lpstr>08_management_support</vt:lpstr>
      <vt:lpstr>09_capital_structure</vt:lpstr>
      <vt:lpstr>99_evidence_index</vt:lpstr>
      <vt:lpstr>RAW_00_overview</vt:lpstr>
      <vt:lpstr>RAW_03_debt_profile</vt:lpstr>
      <vt:lpstr>RAW_06_cash_flow_bridge</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2026-04-17T06:30:17.819Z</dcterms:created>
  <dcterms:modified xsi:type="dcterms:W3CDTF">2026-04-17T06:30:17.819Z</dcterms:modified>
</cp:coreProperties>
</file>