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overview" sheetId="1" r:id="rId1"/>
    <sheet name="01_kpi_dashboard" sheetId="2" r:id="rId2"/>
    <sheet name="02_financial_summary" sheetId="3" r:id="rId3"/>
    <sheet name="03_debt_profile" sheetId="4" r:id="rId4"/>
    <sheet name="04_liquidity_and_covenants" sheetId="5" r:id="rId5"/>
    <sheet name="05_bond_detail" sheetId="6" r:id="rId6"/>
    <sheet name="08_topic_restricted_assets" sheetId="7" r:id="rId7"/>
    <sheet name="99_evidence_index" sheetId="8" r:id="rId8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20" authorId="0">
      <text>
        <r>
          <rPr>
            <sz val="8"/>
            <color indexed="81"/>
            <rFont val="Tahoma"/>
            <family val="2"/>
          </rPr>
          <t>## 附注逐章分析；### 负债侧附注 (18)-(29) — ★核心有息债务章节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6" authorId="0">
      <text>
        <r>
          <rPr>
            <sz val="8"/>
            <color indexed="81"/>
            <rFont val="Tahoma"/>
            <family val="2"/>
          </rPr>
          <t>有息债务合计** | **103,859,182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6" authorId="0">
      <text>
        <r>
          <rPr>
            <sz val="8"/>
            <color indexed="81"/>
            <rFont val="Tahoma"/>
            <family val="2"/>
          </rPr>
          <t>有息债务合计** | **103,859,182</t>
        </r>
      </text>
    </comment>
    <comment ref="C11" authorId="0">
      <text>
        <r>
          <rPr>
            <sz val="8"/>
            <color indexed="81"/>
            <rFont val="Tahoma"/>
            <family val="2"/>
          </rPr>
          <t>短期借款 | 项目 | 2024 | 2023</t>
        </r>
      </text>
    </comment>
    <comment ref="C12" authorId="0">
      <text>
        <r>
          <rPr>
            <sz val="8"/>
            <color indexed="81"/>
            <rFont val="Tahoma"/>
            <family val="2"/>
          </rPr>
          <t>短期借款 | 项目 | 2024 | 2023</t>
        </r>
      </text>
    </comment>
    <comment ref="C16" authorId="0">
      <text>
        <r>
          <rPr>
            <sz val="8"/>
            <color indexed="81"/>
            <rFont val="Tahoma"/>
            <family val="2"/>
          </rPr>
          <t>应付债券 | 项目 | 2024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C12" authorId="0">
      <text>
        <r>
          <rPr>
            <sz val="8"/>
            <color indexed="81"/>
            <rFont val="Tahoma"/>
            <family val="2"/>
          </rPr>
          <t>应付债券 | 项目 | 2024</t>
        </r>
      </text>
    </comment>
    <comment ref="C17" authorId="0">
      <text>
        <r>
          <rPr>
            <sz val="8"/>
            <color indexed="81"/>
            <rFont val="Tahoma"/>
            <family val="2"/>
          </rPr>
          <t>抵押物 - 存货缩水：从5,956</t>
        </r>
      </text>
    </comment>
    <comment ref="B24" authorId="0">
      <text>
        <r>
          <rPr>
            <sz val="8"/>
            <color indexed="81"/>
            <rFont val="Tahoma"/>
            <family val="2"/>
          </rPr>
          <t>短期借款 | 项目 | 2024 | 2023</t>
        </r>
      </text>
    </comment>
    <comment ref="B25" authorId="0">
      <text>
        <r>
          <rPr>
            <sz val="8"/>
            <color indexed="81"/>
            <rFont val="Tahoma"/>
            <family val="2"/>
          </rPr>
          <t>抵押物 - 存货缩水：从5,956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B5" authorId="0">
      <text>
        <r>
          <rPr>
            <sz val="8"/>
            <color indexed="81"/>
            <rFont val="Tahoma"/>
            <family val="2"/>
          </rPr>
          <t>应付债券 | 项目 | 2024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4" authorId="0">
      <text>
        <r>
          <rPr>
            <sz val="8"/>
            <color indexed="81"/>
            <rFont val="Tahoma"/>
            <family val="2"/>
          </rPr>
          <t>#### (1) 货币资金 | 项目 | 2024 | 2023(经重列) | |------|------|------| | 库存现金 | 204 | 307 | | 银行存款 | 1,361,870 | 2,412,048 | | 其他货币资金(受限) | 17,559,696 | 44,885,441 | |…</t>
        </r>
      </text>
    </comment>
    <comment ref="B9" authorId="0">
      <text>
        <r>
          <rPr>
            <sz val="8"/>
            <color indexed="81"/>
            <rFont val="Tahoma"/>
            <family val="2"/>
          </rPr>
          <t>| **合计** | **18,921,770** | **47,297,796** |</t>
        </r>
      </text>
    </comment>
    <comment ref="B10" authorId="0">
      <text>
        <r>
          <rPr>
            <sz val="8"/>
            <color indexed="81"/>
            <rFont val="Tahoma"/>
            <family val="2"/>
          </rPr>
          <t>**受限资金** = 17,559,696千元 ≈ **175.6亿元**（预售物业保证金+冻结资金）</t>
        </r>
      </text>
    </comment>
    <comment ref="B11" authorId="0">
      <text>
        <r>
          <rPr>
            <sz val="8"/>
            <color indexed="81"/>
            <rFont val="Tahoma"/>
            <family val="2"/>
          </rPr>
          <t>抵押物 - 存货缩水：从5,956</t>
        </r>
      </text>
    </comment>
  </commentList>
</comments>
</file>

<file path=xl/sharedStrings.xml><?xml version="1.0" encoding="utf-8"?>
<sst xmlns="http://schemas.openxmlformats.org/spreadsheetml/2006/main" count="391" uniqueCount="202">
  <si>
    <t>Soul v1.1-alpha 概览</t>
  </si>
  <si>
    <t>- **公司**: 碧桂园地产集团有限公司 | 2024 | CNY | property</t>
  </si>
  <si>
    <t>公司名称</t>
  </si>
  <si>
    <t>- **公司**: 碧桂园地产集团有限公司</t>
  </si>
  <si>
    <t>审计意见</t>
  </si>
  <si>
    <t>无法表示意见</t>
  </si>
  <si>
    <t>报告类型</t>
  </si>
  <si>
    <t>nfmii_brief_report</t>
  </si>
  <si>
    <t>执行摘要</t>
  </si>
  <si>
    <t>报告类型识别为 nfmii_brief_report，审计意见为 无法表示意见。</t>
  </si>
  <si>
    <t>本次动态重点共 6 项，优先关注 asset_impairment。</t>
  </si>
  <si>
    <t>附注章节记录共生成 31 条，覆盖章节 1 至 31。</t>
  </si>
  <si>
    <t>关键风险</t>
  </si>
  <si>
    <t>风险</t>
  </si>
  <si>
    <t>等级</t>
  </si>
  <si>
    <t>说明</t>
  </si>
  <si>
    <t>证据</t>
  </si>
  <si>
    <t>流动性与再融资压力</t>
  </si>
  <si>
    <t>高</t>
  </si>
  <si>
    <t>检测到 一年内到期, 再融资 相关表述</t>
  </si>
  <si>
    <t>**★关键发现**: 受限资金占比高达92.8%！自由可用现金仅13.6亿元，而一年内到期的有息债务超过734亿元，流动性缺口极为严重。</t>
  </si>
  <si>
    <t>EVD-0002</t>
  </si>
  <si>
    <t>受限资金占用风险</t>
  </si>
  <si>
    <t>中</t>
  </si>
  <si>
    <t>检测到 受限资金, 受限制 相关表述</t>
  </si>
  <si>
    <t>**受限资金** = 17,559,696千元 ≈ **175.6亿元**（预售物业保证金+冻结资金）</t>
  </si>
  <si>
    <t>EVD-0003</t>
  </si>
  <si>
    <t>资产减值或公允价值下行压力</t>
  </si>
  <si>
    <t>检测到 减值, 减值准备 相关表述</t>
  </si>
  <si>
    <t>**三阶段减值**:</t>
  </si>
  <si>
    <t>EVD-0004</t>
  </si>
  <si>
    <t>担保敞口风险</t>
  </si>
  <si>
    <t>检测到 担保, 反担保 相关表述</t>
  </si>
  <si>
    <t>- 抵押: 601,203千元抵押，担保254,729千元负债</t>
  </si>
  <si>
    <t>EVD-0005</t>
  </si>
  <si>
    <t>违约或诉讼风险</t>
  </si>
  <si>
    <t>检测到 违约, 逾期 相关表述</t>
  </si>
  <si>
    <t>| 未决诉讼 | 956,422 | 75,975 |</t>
  </si>
  <si>
    <t>EVD-0006</t>
  </si>
  <si>
    <t>报告亮点</t>
  </si>
  <si>
    <t>附注定位</t>
  </si>
  <si>
    <t>已定位附注区间 1 - 45</t>
  </si>
  <si>
    <t>附注覆盖</t>
  </si>
  <si>
    <t>当前覆盖 31 个附注章节</t>
  </si>
  <si>
    <t>KPI Dashboard</t>
  </si>
  <si>
    <t>固定骨架模块 01</t>
  </si>
  <si>
    <t>分类</t>
  </si>
  <si>
    <t>指标</t>
  </si>
  <si>
    <t>当前值</t>
  </si>
  <si>
    <t>单位</t>
  </si>
  <si>
    <t>来源</t>
  </si>
  <si>
    <t>对比</t>
  </si>
  <si>
    <t>净债务/权益</t>
  </si>
  <si>
    <t>-</t>
  </si>
  <si>
    <t>%</t>
  </si>
  <si>
    <t>待补</t>
  </si>
  <si>
    <t>manual_needed</t>
  </si>
  <si>
    <t>有息债务总额</t>
  </si>
  <si>
    <t>CNY_100m</t>
  </si>
  <si>
    <t>direct</t>
  </si>
  <si>
    <t>EVD-0007</t>
  </si>
  <si>
    <t>杠杆</t>
  </si>
  <si>
    <t>现金短债比</t>
  </si>
  <si>
    <t>x</t>
  </si>
  <si>
    <t>未动用授信</t>
  </si>
  <si>
    <t>偿债</t>
  </si>
  <si>
    <t>营业利润</t>
  </si>
  <si>
    <t>盈利</t>
  </si>
  <si>
    <t>经营现金流净额</t>
  </si>
  <si>
    <t>现金流</t>
  </si>
  <si>
    <t>Financial Summary</t>
  </si>
  <si>
    <t>固定骨架模块 02</t>
  </si>
  <si>
    <t>当前 notes-only 链路无法稳定生成摘要三表，已保留结构待后续标准化报表抽取补足。</t>
  </si>
  <si>
    <t>资产负债表摘要</t>
  </si>
  <si>
    <t>项目</t>
  </si>
  <si>
    <t>期间</t>
  </si>
  <si>
    <t>数值</t>
  </si>
  <si>
    <t>当前无稳定结构化数据，保留空骨架。</t>
  </si>
  <si>
    <t>利润表摘要</t>
  </si>
  <si>
    <t>现金流量表摘要</t>
  </si>
  <si>
    <t>Debt Profile</t>
  </si>
  <si>
    <t>固定骨架模块 03</t>
  </si>
  <si>
    <t>债务总览</t>
  </si>
  <si>
    <t>备注</t>
  </si>
  <si>
    <t>净债务</t>
  </si>
  <si>
    <t>期限结构</t>
  </si>
  <si>
    <t>一年内到期</t>
  </si>
  <si>
    <t>2024-12-31</t>
  </si>
  <si>
    <t>EVD-0008</t>
  </si>
  <si>
    <t>一年后到期</t>
  </si>
  <si>
    <t>EVD-0008, EVD-0007</t>
  </si>
  <si>
    <t>融资结构</t>
  </si>
  <si>
    <t>债券/票据</t>
  </si>
  <si>
    <t>EVD-0009</t>
  </si>
  <si>
    <t>利率结构</t>
  </si>
  <si>
    <t>银行贷款利率区间</t>
  </si>
  <si>
    <t>text</t>
  </si>
  <si>
    <t>债券票面利率区间</t>
  </si>
  <si>
    <t>债务评论</t>
  </si>
  <si>
    <t>标签</t>
  </si>
  <si>
    <t>详情</t>
  </si>
  <si>
    <t>契约约束借款</t>
  </si>
  <si>
    <t>Liquidity And Covenants</t>
  </si>
  <si>
    <t>固定骨架模块 04</t>
  </si>
  <si>
    <t>现金指标</t>
  </si>
  <si>
    <t>现金及现金等价物</t>
  </si>
  <si>
    <t>现金及银行存款</t>
  </si>
  <si>
    <t>授信与债务窗口</t>
  </si>
  <si>
    <t>未动用银行承诺授信</t>
  </si>
  <si>
    <t>中票/票据计划可发行余额</t>
  </si>
  <si>
    <t>受限资产</t>
  </si>
  <si>
    <t>受限资金</t>
  </si>
  <si>
    <t>抵押/质押资产</t>
  </si>
  <si>
    <t>EVD-0010</t>
  </si>
  <si>
    <t>财务契约</t>
  </si>
  <si>
    <t>条目</t>
  </si>
  <si>
    <t>状态</t>
  </si>
  <si>
    <t>受限债务</t>
  </si>
  <si>
    <t>财务契约合规</t>
  </si>
  <si>
    <t>unknown</t>
  </si>
  <si>
    <t>流动性观察</t>
  </si>
  <si>
    <t>流动性信号</t>
  </si>
  <si>
    <t>存在一年内到期债务与再融资管理要求。</t>
  </si>
  <si>
    <t>受限资产提示</t>
  </si>
  <si>
    <t>存在受限资金或抵押资产，需要结合自由现金判断可动用流动性。</t>
  </si>
  <si>
    <t>债券明细</t>
  </si>
  <si>
    <t>可选标准模块</t>
  </si>
  <si>
    <t>债券/工具</t>
  </si>
  <si>
    <t>余额</t>
  </si>
  <si>
    <t>利率区间</t>
  </si>
  <si>
    <t>条款</t>
  </si>
  <si>
    <t>受限资产与抵押</t>
  </si>
  <si>
    <t>专题模块</t>
  </si>
  <si>
    <t>#### (1) 货币资金 | 项目 | 2024 | 2023(经重列) | |------|------|------| | 库存现金 | 204 | 307 | | 银行存款 | 1,361,870 | 2,412,048 | | 其他货币资金(受限) | 17,559,696 | 44,885,441 | | **合计** | **18,921,770** | **47,297,796*…</t>
  </si>
  <si>
    <t>案例要点</t>
  </si>
  <si>
    <t>| **合计** | **</t>
  </si>
  <si>
    <t>EVD-0012</t>
  </si>
  <si>
    <t>**受限资金** =</t>
  </si>
  <si>
    <t>亿元</t>
  </si>
  <si>
    <t>EVD-0013</t>
  </si>
  <si>
    <t>风险信号</t>
  </si>
  <si>
    <t>信号</t>
  </si>
  <si>
    <t>影响</t>
  </si>
  <si>
    <t>liquidity_pressure</t>
  </si>
  <si>
    <t>restricted_cash</t>
  </si>
  <si>
    <t>**受限资金** = 17,559,696千元 ≈ **175.6亿元**（预售物业保证金+冻结资金）；**★关键发现**: 受限资金占比高达92.8%！自由可用现金仅13.6亿元，而一年内到期的有息债务超过734亿元，流动性缺口极为严重。</t>
  </si>
  <si>
    <t>asset_impairment</t>
  </si>
  <si>
    <t>**三阶段减值**:；- 第三阶段(已信用减值): 29,103,143千元，损失率**97.6%** → 基本全额计提</t>
  </si>
  <si>
    <t>Evidence Index</t>
  </si>
  <si>
    <t>固定骨架模块 99</t>
  </si>
  <si>
    <t>证据ID</t>
  </si>
  <si>
    <t>字段路径</t>
  </si>
  <si>
    <t>Sheet</t>
  </si>
  <si>
    <t>证据片段</t>
  </si>
  <si>
    <t>文档</t>
  </si>
  <si>
    <t>章节</t>
  </si>
  <si>
    <t>附注</t>
  </si>
  <si>
    <t>置信度</t>
  </si>
  <si>
    <t>EVD-0001</t>
  </si>
  <si>
    <t>overview.report_highlights.locator</t>
  </si>
  <si>
    <t>00_overview</t>
  </si>
  <si>
    <t>## 附注逐章分析；### 负债侧附注 (18)-(29) — ★核心有息债务章节</t>
  </si>
  <si>
    <t>notes_workfile</t>
  </si>
  <si>
    <t>high</t>
  </si>
  <si>
    <t>overview.key_risks.liquidity_pressure</t>
  </si>
  <si>
    <t>annual_report_notes</t>
  </si>
  <si>
    <t>1 货币资金</t>
  </si>
  <si>
    <t>1</t>
  </si>
  <si>
    <t>overview.key_risks.restricted_cash</t>
  </si>
  <si>
    <t>medium</t>
  </si>
  <si>
    <t>overview.key_risks.asset_impairment</t>
  </si>
  <si>
    <t>4 其他应收款（★重要）</t>
  </si>
  <si>
    <t>4</t>
  </si>
  <si>
    <t>overview.key_risks.guarantee_exposure</t>
  </si>
  <si>
    <t>9 投资性房地产</t>
  </si>
  <si>
    <t>9</t>
  </si>
  <si>
    <t>overview.key_risks.litigation_or_default</t>
  </si>
  <si>
    <t>29 预计负债（★新发现）</t>
  </si>
  <si>
    <t>29</t>
  </si>
  <si>
    <t>debt_profile.totals.total_interest_bearing_debt</t>
  </si>
  <si>
    <t>03_debt_profile</t>
  </si>
  <si>
    <t>有息债务合计** | **103,859,182</t>
  </si>
  <si>
    <t>debt_profile.maturity_buckets.within_1y</t>
  </si>
  <si>
    <t>短期借款 | 项目 | 2024 | 2023</t>
  </si>
  <si>
    <t>18 短期借款</t>
  </si>
  <si>
    <t>18</t>
  </si>
  <si>
    <t>optional_modules.bond_detail.bonds.mtn_program</t>
  </si>
  <si>
    <t>05_bond_detail</t>
  </si>
  <si>
    <t>应付债券 | 项目 | 2024</t>
  </si>
  <si>
    <t>27 应付债券</t>
  </si>
  <si>
    <t>27</t>
  </si>
  <si>
    <t>liquidity_and_covenants.restricted_assets.pledged_assets</t>
  </si>
  <si>
    <t>04_liquidity_and_covenants</t>
  </si>
  <si>
    <t>抵押物 - 存货缩水：从5,956</t>
  </si>
  <si>
    <t>6 存货（★核心资产）</t>
  </si>
  <si>
    <t>6</t>
  </si>
  <si>
    <t>EVD-0011</t>
  </si>
  <si>
    <t>optional_modules.topic_restricted_assets.summary</t>
  </si>
  <si>
    <t>08_topic_restricted_assets</t>
  </si>
  <si>
    <t>#### (1) 货币资金 | 项目 | 2024 | 2023(经重列) | |------|------|------| | 库存现金 | 204 | 307 | | 银行存款 | 1,361,870 | 2,412,048 | | 其他货币资金(受限) | 17,559,696 | 44,885,441 | |…</t>
  </si>
  <si>
    <t>optional_modules.topic_restricted_assets.sections.numeric</t>
  </si>
  <si>
    <t>| **合计** | **18,921,770** | **47,297,796** |</t>
  </si>
</sst>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&quot;x&quot;;[Red](0.00&quot;x&quot;);-"/>
  </numFmts>
  <fonts count="10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4B556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6324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6B7280"/>
      <name val="Calibri"/>
      <family val="2"/>
      <scheme val="minor"/>
    </font>
    <font>
      <sz val="11"/>
      <color rgb="FF7F6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0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4" fillId="4" borderId="1" xfId="0" applyFont="1" applyFill="1" applyBorder="1"/>
    <xf numFmtId="0" fontId="5" fillId="5" borderId="1" xfId="0" applyFont="1" applyFill="1" applyBorder="1"/>
    <xf numFmtId="0" fontId="6" fillId="0" borderId="1" xfId="0" applyFont="1" applyBorder="1" applyAlignment="1">
      <alignment vertical="top" wrapText="1"/>
    </xf>
    <xf numFmtId="0" fontId="7" fillId="6" borderId="1" xfId="0" applyFont="1" applyFill="1" applyBorder="1"/>
    <xf numFmtId="0" fontId="8" fillId="7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1" width="16.7109375" customWidth="1"/>
    <col min="2" max="2" width="22.7109375" customWidth="1"/>
    <col min="3" max="6" width="24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4" spans="1:6">
      <c r="A4" s="3" t="s">
        <v>2</v>
      </c>
      <c r="B4" s="4" t="s">
        <v>3</v>
      </c>
      <c r="C4" s="3" t="s">
        <v>4</v>
      </c>
      <c r="D4" s="4" t="s">
        <v>5</v>
      </c>
      <c r="E4" s="3" t="s">
        <v>6</v>
      </c>
      <c r="F4" s="4" t="s">
        <v>7</v>
      </c>
    </row>
    <row r="6" spans="1:6">
      <c r="A6" s="5" t="s">
        <v>8</v>
      </c>
      <c r="B6" s="5"/>
      <c r="C6" s="5"/>
      <c r="D6" s="5"/>
      <c r="E6" s="5"/>
      <c r="F6" s="5"/>
    </row>
    <row r="7" spans="1:6">
      <c r="A7" s="4" t="s">
        <v>9</v>
      </c>
      <c r="B7" s="4"/>
      <c r="C7" s="4"/>
      <c r="D7" s="4"/>
      <c r="E7" s="4"/>
      <c r="F7" s="4"/>
    </row>
    <row r="8" spans="1:6">
      <c r="A8" s="4" t="s">
        <v>10</v>
      </c>
      <c r="B8" s="4"/>
      <c r="C8" s="4"/>
      <c r="D8" s="4"/>
      <c r="E8" s="4"/>
      <c r="F8" s="4"/>
    </row>
    <row r="9" spans="1:6">
      <c r="A9" s="4" t="s">
        <v>11</v>
      </c>
      <c r="B9" s="4"/>
      <c r="C9" s="4"/>
      <c r="D9" s="4"/>
      <c r="E9" s="4"/>
      <c r="F9" s="4"/>
    </row>
    <row r="11" spans="1:6">
      <c r="A11" s="5" t="s">
        <v>12</v>
      </c>
      <c r="B11" s="5"/>
      <c r="C11" s="5"/>
      <c r="D11" s="5"/>
      <c r="E11" s="5"/>
      <c r="F11" s="5"/>
    </row>
    <row r="12" spans="1:6">
      <c r="A12" s="3" t="s">
        <v>13</v>
      </c>
      <c r="B12" s="3" t="s">
        <v>14</v>
      </c>
      <c r="C12" s="3" t="s">
        <v>15</v>
      </c>
      <c r="D12" s="3" t="s">
        <v>16</v>
      </c>
    </row>
    <row r="13" spans="1:6">
      <c r="A13" s="4" t="s">
        <v>17</v>
      </c>
      <c r="B13" s="6" t="s">
        <v>18</v>
      </c>
      <c r="C13" s="4" t="s">
        <v>19</v>
      </c>
      <c r="D13" s="4" t="s">
        <v>20</v>
      </c>
      <c r="E13" s="7" t="s">
        <v>21</v>
      </c>
      <c r="F13" s="7"/>
    </row>
    <row r="14" spans="1:6">
      <c r="A14" s="4" t="s">
        <v>22</v>
      </c>
      <c r="B14" s="8" t="s">
        <v>23</v>
      </c>
      <c r="C14" s="4" t="s">
        <v>24</v>
      </c>
      <c r="D14" s="4" t="s">
        <v>25</v>
      </c>
      <c r="E14" s="7" t="s">
        <v>26</v>
      </c>
      <c r="F14" s="7"/>
    </row>
    <row r="15" spans="1:6">
      <c r="A15" s="4" t="s">
        <v>27</v>
      </c>
      <c r="B15" s="6" t="s">
        <v>18</v>
      </c>
      <c r="C15" s="4" t="s">
        <v>28</v>
      </c>
      <c r="D15" s="4" t="s">
        <v>29</v>
      </c>
      <c r="E15" s="7" t="s">
        <v>30</v>
      </c>
      <c r="F15" s="7"/>
    </row>
    <row r="16" spans="1:6">
      <c r="A16" s="4" t="s">
        <v>31</v>
      </c>
      <c r="B16" s="8" t="s">
        <v>23</v>
      </c>
      <c r="C16" s="4" t="s">
        <v>32</v>
      </c>
      <c r="D16" s="4" t="s">
        <v>33</v>
      </c>
      <c r="E16" s="7" t="s">
        <v>34</v>
      </c>
      <c r="F16" s="7"/>
    </row>
    <row r="17" spans="1:6">
      <c r="A17" s="4" t="s">
        <v>35</v>
      </c>
      <c r="B17" s="6" t="s">
        <v>18</v>
      </c>
      <c r="C17" s="4" t="s">
        <v>36</v>
      </c>
      <c r="D17" s="4" t="s">
        <v>37</v>
      </c>
      <c r="E17" s="7" t="s">
        <v>38</v>
      </c>
      <c r="F17" s="7"/>
    </row>
    <row r="19" spans="1:6">
      <c r="A19" s="5" t="s">
        <v>39</v>
      </c>
      <c r="B19" s="5"/>
      <c r="C19" s="5"/>
      <c r="D19" s="5"/>
      <c r="E19" s="5"/>
      <c r="F19" s="5"/>
    </row>
    <row r="20" spans="1:6">
      <c r="A20" s="9" t="s">
        <v>40</v>
      </c>
      <c r="B20" s="4" t="s">
        <v>41</v>
      </c>
      <c r="C20" s="4"/>
      <c r="D20" s="4"/>
      <c r="E20" s="4"/>
      <c r="F20" s="4"/>
    </row>
    <row r="21" spans="1:6">
      <c r="A21" s="9" t="s">
        <v>42</v>
      </c>
      <c r="B21" s="4" t="s">
        <v>43</v>
      </c>
      <c r="C21" s="4"/>
      <c r="D21" s="4"/>
      <c r="E21" s="4"/>
      <c r="F21" s="4"/>
    </row>
  </sheetData>
  <mergeCells count="14">
    <mergeCell ref="A1:F1"/>
    <mergeCell ref="A6:F6"/>
    <mergeCell ref="A7:F7"/>
    <mergeCell ref="A8:F8"/>
    <mergeCell ref="A9:F9"/>
    <mergeCell ref="A11:F11"/>
    <mergeCell ref="E13:F13"/>
    <mergeCell ref="E14:F14"/>
    <mergeCell ref="E15:F15"/>
    <mergeCell ref="E16:F16"/>
    <mergeCell ref="E17:F17"/>
    <mergeCell ref="A19:F19"/>
    <mergeCell ref="B20:F20"/>
    <mergeCell ref="B21:F2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  <col min="2" max="2" width="22.7109375" customWidth="1"/>
    <col min="3" max="3" width="14.7109375" customWidth="1"/>
    <col min="4" max="6" width="12.7109375" customWidth="1"/>
    <col min="7" max="7" width="14.7109375" customWidth="1"/>
    <col min="8" max="8" width="24.7109375" customWidth="1"/>
    <col min="10" max="11" width="12.7109375" hidden="1" customWidth="1"/>
  </cols>
  <sheetData>
    <row r="1" spans="1:10">
      <c r="A1" s="1" t="s">
        <v>44</v>
      </c>
      <c r="B1" s="1"/>
      <c r="C1" s="1"/>
      <c r="D1" s="1"/>
      <c r="E1" s="1"/>
      <c r="F1" s="1"/>
    </row>
    <row r="2" spans="1:10">
      <c r="A2" s="2" t="s">
        <v>45</v>
      </c>
    </row>
    <row r="3" spans="1:10">
      <c r="J3">
        <v>3</v>
      </c>
    </row>
    <row r="4" spans="1:10">
      <c r="A4" s="3" t="s">
        <v>46</v>
      </c>
      <c r="B4" s="3" t="s">
        <v>47</v>
      </c>
      <c r="C4" s="3" t="s">
        <v>48</v>
      </c>
      <c r="D4" s="3" t="s">
        <v>49</v>
      </c>
      <c r="E4" s="3" t="s">
        <v>13</v>
      </c>
      <c r="F4" s="3" t="s">
        <v>50</v>
      </c>
      <c r="G4" s="3" t="s">
        <v>51</v>
      </c>
      <c r="H4" s="3" t="s">
        <v>16</v>
      </c>
    </row>
    <row r="5" spans="1:10">
      <c r="A5" s="5" t="s">
        <v>61</v>
      </c>
      <c r="B5" s="4" t="s">
        <v>52</v>
      </c>
      <c r="C5" s="7" t="s">
        <v>53</v>
      </c>
      <c r="D5" s="4" t="s">
        <v>54</v>
      </c>
      <c r="E5" s="7" t="s">
        <v>55</v>
      </c>
      <c r="F5" s="4" t="s">
        <v>56</v>
      </c>
      <c r="G5" s="4"/>
      <c r="H5" s="7"/>
    </row>
    <row r="6" spans="1:10">
      <c r="A6" s="5"/>
      <c r="B6" s="4" t="s">
        <v>57</v>
      </c>
      <c r="C6" s="10">
        <v>1038591.82</v>
      </c>
      <c r="D6" s="4" t="s">
        <v>58</v>
      </c>
      <c r="E6" s="7" t="s">
        <v>55</v>
      </c>
      <c r="F6" s="4" t="s">
        <v>59</v>
      </c>
      <c r="G6" s="4"/>
      <c r="H6" s="7" t="s">
        <v>60</v>
      </c>
    </row>
    <row r="7" spans="1:10">
      <c r="A7" s="5" t="s">
        <v>65</v>
      </c>
      <c r="B7" s="4" t="s">
        <v>62</v>
      </c>
      <c r="C7" s="11">
        <f>IFERROR($J$2/$J$3,"")</f>
        <v>None</v>
      </c>
      <c r="D7" s="4" t="s">
        <v>63</v>
      </c>
      <c r="E7" s="7" t="s">
        <v>55</v>
      </c>
      <c r="F7" s="4" t="s">
        <v>56</v>
      </c>
      <c r="G7" s="4"/>
      <c r="H7" s="7"/>
    </row>
    <row r="8" spans="1:10">
      <c r="A8" s="5"/>
      <c r="B8" s="4" t="s">
        <v>64</v>
      </c>
      <c r="C8" s="7" t="s">
        <v>53</v>
      </c>
      <c r="D8" s="4"/>
      <c r="E8" s="7" t="s">
        <v>55</v>
      </c>
      <c r="F8" s="4" t="s">
        <v>56</v>
      </c>
      <c r="G8" s="4"/>
      <c r="H8" s="7"/>
    </row>
    <row r="9" spans="1:10">
      <c r="A9" s="5" t="s">
        <v>67</v>
      </c>
      <c r="B9" s="4" t="s">
        <v>66</v>
      </c>
      <c r="C9" s="7" t="s">
        <v>53</v>
      </c>
      <c r="D9" s="4"/>
      <c r="E9" s="7" t="s">
        <v>55</v>
      </c>
      <c r="F9" s="4" t="s">
        <v>56</v>
      </c>
      <c r="G9" s="4"/>
      <c r="H9" s="7"/>
    </row>
    <row r="10" spans="1:10">
      <c r="A10" s="5" t="s">
        <v>69</v>
      </c>
      <c r="B10" s="4" t="s">
        <v>68</v>
      </c>
      <c r="C10" s="7" t="s">
        <v>53</v>
      </c>
      <c r="D10" s="4"/>
      <c r="E10" s="7" t="s">
        <v>55</v>
      </c>
      <c r="F10" s="4" t="s">
        <v>56</v>
      </c>
      <c r="G10" s="4"/>
      <c r="H10" s="7"/>
    </row>
  </sheetData>
  <mergeCells count="3">
    <mergeCell ref="A1:F1"/>
    <mergeCell ref="A5:A6"/>
    <mergeCell ref="A7:A8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5" width="16.7109375" customWidth="1"/>
  </cols>
  <sheetData>
    <row r="1" spans="1:6">
      <c r="A1" s="1" t="s">
        <v>70</v>
      </c>
      <c r="B1" s="1"/>
      <c r="C1" s="1"/>
      <c r="D1" s="1"/>
      <c r="E1" s="1"/>
      <c r="F1" s="1"/>
    </row>
    <row r="2" spans="1:6">
      <c r="A2" s="2" t="s">
        <v>71</v>
      </c>
    </row>
    <row r="3" spans="1:6">
      <c r="A3" s="2" t="s">
        <v>72</v>
      </c>
      <c r="B3" s="2"/>
      <c r="C3" s="2"/>
      <c r="D3" s="2"/>
      <c r="E3" s="2"/>
    </row>
    <row r="5" spans="1:6">
      <c r="A5" s="5" t="s">
        <v>73</v>
      </c>
      <c r="B5" s="5"/>
      <c r="C5" s="5"/>
      <c r="D5" s="5"/>
      <c r="E5" s="5"/>
    </row>
    <row r="6" spans="1:6">
      <c r="A6" s="3" t="s">
        <v>74</v>
      </c>
      <c r="B6" s="3" t="s">
        <v>75</v>
      </c>
      <c r="C6" s="3" t="s">
        <v>76</v>
      </c>
      <c r="D6" s="3" t="s">
        <v>49</v>
      </c>
      <c r="E6" s="3" t="s">
        <v>15</v>
      </c>
    </row>
    <row r="7" spans="1:6">
      <c r="A7" s="7" t="s">
        <v>77</v>
      </c>
      <c r="B7" s="7"/>
      <c r="C7" s="7"/>
      <c r="D7" s="7"/>
      <c r="E7" s="7"/>
    </row>
    <row r="9" spans="1:6">
      <c r="A9" s="5" t="s">
        <v>78</v>
      </c>
      <c r="B9" s="5"/>
      <c r="C9" s="5"/>
      <c r="D9" s="5"/>
      <c r="E9" s="5"/>
    </row>
    <row r="10" spans="1:6">
      <c r="A10" s="3" t="s">
        <v>74</v>
      </c>
      <c r="B10" s="3" t="s">
        <v>75</v>
      </c>
      <c r="C10" s="3" t="s">
        <v>76</v>
      </c>
      <c r="D10" s="3" t="s">
        <v>49</v>
      </c>
      <c r="E10" s="3" t="s">
        <v>15</v>
      </c>
    </row>
    <row r="11" spans="1:6">
      <c r="A11" s="7" t="s">
        <v>77</v>
      </c>
      <c r="B11" s="7"/>
      <c r="C11" s="7"/>
      <c r="D11" s="7"/>
      <c r="E11" s="7"/>
    </row>
    <row r="13" spans="1:6">
      <c r="A13" s="5" t="s">
        <v>79</v>
      </c>
      <c r="B13" s="5"/>
      <c r="C13" s="5"/>
      <c r="D13" s="5"/>
      <c r="E13" s="5"/>
    </row>
    <row r="14" spans="1:6">
      <c r="A14" s="3" t="s">
        <v>74</v>
      </c>
      <c r="B14" s="3" t="s">
        <v>75</v>
      </c>
      <c r="C14" s="3" t="s">
        <v>76</v>
      </c>
      <c r="D14" s="3" t="s">
        <v>49</v>
      </c>
      <c r="E14" s="3" t="s">
        <v>15</v>
      </c>
    </row>
    <row r="15" spans="1:6">
      <c r="A15" s="7" t="s">
        <v>77</v>
      </c>
      <c r="B15" s="7"/>
      <c r="C15" s="7"/>
      <c r="D15" s="7"/>
      <c r="E15" s="7"/>
    </row>
  </sheetData>
  <mergeCells count="8">
    <mergeCell ref="A1:F1"/>
    <mergeCell ref="A3:E3"/>
    <mergeCell ref="A5:E5"/>
    <mergeCell ref="A7:E7"/>
    <mergeCell ref="A9:E9"/>
    <mergeCell ref="A11:E11"/>
    <mergeCell ref="A13:E13"/>
    <mergeCell ref="A15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6" width="16.7109375" customWidth="1"/>
  </cols>
  <sheetData>
    <row r="1" spans="1:6">
      <c r="A1" s="1" t="s">
        <v>80</v>
      </c>
      <c r="B1" s="1"/>
      <c r="C1" s="1"/>
      <c r="D1" s="1"/>
      <c r="E1" s="1"/>
      <c r="F1" s="1"/>
    </row>
    <row r="2" spans="1:6">
      <c r="A2" s="2" t="s">
        <v>81</v>
      </c>
    </row>
    <row r="4" spans="1:6">
      <c r="A4" s="5" t="s">
        <v>82</v>
      </c>
      <c r="B4" s="5"/>
      <c r="C4" s="5"/>
      <c r="D4" s="5"/>
      <c r="E4" s="5"/>
      <c r="F4" s="5"/>
    </row>
    <row r="5" spans="1:6">
      <c r="A5" s="3" t="s">
        <v>74</v>
      </c>
      <c r="B5" s="3" t="s">
        <v>75</v>
      </c>
      <c r="C5" s="3" t="s">
        <v>76</v>
      </c>
      <c r="D5" s="3" t="s">
        <v>49</v>
      </c>
      <c r="E5" s="3" t="s">
        <v>83</v>
      </c>
      <c r="F5" s="3" t="s">
        <v>16</v>
      </c>
    </row>
    <row r="6" spans="1:6">
      <c r="A6" s="4" t="s">
        <v>57</v>
      </c>
      <c r="B6" s="4"/>
      <c r="C6" s="4" t="s">
        <v>53</v>
      </c>
      <c r="D6" s="4"/>
      <c r="E6" s="4"/>
      <c r="F6" s="7" t="s">
        <v>60</v>
      </c>
    </row>
    <row r="7" spans="1:6">
      <c r="A7" s="4" t="s">
        <v>84</v>
      </c>
      <c r="B7" s="4"/>
      <c r="C7" s="4" t="s">
        <v>53</v>
      </c>
      <c r="D7" s="4"/>
      <c r="E7" s="4"/>
      <c r="F7" s="7"/>
    </row>
    <row r="9" spans="1:6">
      <c r="A9" s="5" t="s">
        <v>85</v>
      </c>
      <c r="B9" s="5"/>
      <c r="C9" s="5"/>
      <c r="D9" s="5"/>
      <c r="E9" s="5"/>
      <c r="F9" s="5"/>
    </row>
    <row r="10" spans="1:6">
      <c r="A10" s="3" t="s">
        <v>74</v>
      </c>
      <c r="B10" s="3" t="s">
        <v>75</v>
      </c>
      <c r="C10" s="3" t="s">
        <v>76</v>
      </c>
      <c r="D10" s="3" t="s">
        <v>49</v>
      </c>
      <c r="E10" s="3" t="s">
        <v>83</v>
      </c>
      <c r="F10" s="3" t="s">
        <v>16</v>
      </c>
    </row>
    <row r="11" spans="1:6">
      <c r="A11" s="4" t="s">
        <v>86</v>
      </c>
      <c r="B11" s="4" t="s">
        <v>87</v>
      </c>
      <c r="C11" s="10">
        <v>3</v>
      </c>
      <c r="D11" s="4"/>
      <c r="E11" s="4"/>
      <c r="F11" s="7" t="s">
        <v>88</v>
      </c>
    </row>
    <row r="12" spans="1:6">
      <c r="A12" s="4" t="s">
        <v>89</v>
      </c>
      <c r="B12" s="4" t="s">
        <v>87</v>
      </c>
      <c r="C12" s="10">
        <v>1038588.82</v>
      </c>
      <c r="D12" s="4" t="s">
        <v>58</v>
      </c>
      <c r="E12" s="4"/>
      <c r="F12" s="7" t="s">
        <v>90</v>
      </c>
    </row>
    <row r="14" spans="1:6">
      <c r="A14" s="5" t="s">
        <v>91</v>
      </c>
      <c r="B14" s="5"/>
      <c r="C14" s="5"/>
      <c r="D14" s="5"/>
      <c r="E14" s="5"/>
      <c r="F14" s="5"/>
    </row>
    <row r="15" spans="1:6">
      <c r="A15" s="3" t="s">
        <v>74</v>
      </c>
      <c r="B15" s="3" t="s">
        <v>75</v>
      </c>
      <c r="C15" s="3" t="s">
        <v>76</v>
      </c>
      <c r="D15" s="3" t="s">
        <v>49</v>
      </c>
      <c r="E15" s="3" t="s">
        <v>83</v>
      </c>
      <c r="F15" s="3" t="s">
        <v>16</v>
      </c>
    </row>
    <row r="16" spans="1:6">
      <c r="A16" s="4" t="s">
        <v>92</v>
      </c>
      <c r="B16" s="4" t="s">
        <v>87</v>
      </c>
      <c r="C16" s="10">
        <v>20.24</v>
      </c>
      <c r="D16" s="4" t="s">
        <v>58</v>
      </c>
      <c r="E16" s="4"/>
      <c r="F16" s="7" t="s">
        <v>93</v>
      </c>
    </row>
    <row r="18" spans="1:6">
      <c r="A18" s="5" t="s">
        <v>94</v>
      </c>
      <c r="B18" s="5"/>
      <c r="C18" s="5"/>
      <c r="D18" s="5"/>
      <c r="E18" s="5"/>
      <c r="F18" s="5"/>
    </row>
    <row r="19" spans="1:6">
      <c r="A19" s="3" t="s">
        <v>74</v>
      </c>
      <c r="B19" s="3" t="s">
        <v>75</v>
      </c>
      <c r="C19" s="3" t="s">
        <v>76</v>
      </c>
      <c r="D19" s="3" t="s">
        <v>49</v>
      </c>
      <c r="E19" s="3" t="s">
        <v>83</v>
      </c>
      <c r="F19" s="3" t="s">
        <v>16</v>
      </c>
    </row>
    <row r="20" spans="1:6">
      <c r="A20" s="4" t="s">
        <v>95</v>
      </c>
      <c r="B20" s="4" t="s">
        <v>87</v>
      </c>
      <c r="C20" s="4" t="s">
        <v>53</v>
      </c>
      <c r="D20" s="4" t="s">
        <v>96</v>
      </c>
      <c r="E20" s="4"/>
      <c r="F20" s="7"/>
    </row>
    <row r="21" spans="1:6">
      <c r="A21" s="4" t="s">
        <v>97</v>
      </c>
      <c r="B21" s="4" t="s">
        <v>87</v>
      </c>
      <c r="C21" s="4" t="s">
        <v>53</v>
      </c>
      <c r="D21" s="4" t="s">
        <v>96</v>
      </c>
      <c r="E21" s="4"/>
      <c r="F21" s="7"/>
    </row>
    <row r="23" spans="1:6">
      <c r="A23" s="5" t="s">
        <v>98</v>
      </c>
      <c r="B23" s="5"/>
      <c r="C23" s="5"/>
      <c r="D23" s="5"/>
      <c r="E23" s="5"/>
      <c r="F23" s="5"/>
    </row>
    <row r="24" spans="1:6">
      <c r="A24" s="3" t="s">
        <v>99</v>
      </c>
      <c r="B24" s="3" t="s">
        <v>100</v>
      </c>
      <c r="C24" s="3" t="s">
        <v>50</v>
      </c>
      <c r="D24" s="3" t="s">
        <v>16</v>
      </c>
      <c r="E24" s="3"/>
      <c r="F24" s="3"/>
    </row>
    <row r="25" spans="1:6">
      <c r="A25" s="4" t="s">
        <v>101</v>
      </c>
      <c r="B25" s="4"/>
      <c r="C25" s="4"/>
      <c r="D25" s="4"/>
      <c r="E25" s="4" t="s">
        <v>56</v>
      </c>
      <c r="F25" s="7"/>
    </row>
  </sheetData>
  <mergeCells count="7">
    <mergeCell ref="A1:F1"/>
    <mergeCell ref="A4:F4"/>
    <mergeCell ref="A9:F9"/>
    <mergeCell ref="A14:F14"/>
    <mergeCell ref="A18:F18"/>
    <mergeCell ref="A23:F23"/>
    <mergeCell ref="B25:D2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6" width="16.7109375" customWidth="1"/>
  </cols>
  <sheetData>
    <row r="1" spans="1:6">
      <c r="A1" s="1" t="s">
        <v>102</v>
      </c>
      <c r="B1" s="1"/>
      <c r="C1" s="1"/>
      <c r="D1" s="1"/>
      <c r="E1" s="1"/>
      <c r="F1" s="1"/>
    </row>
    <row r="2" spans="1:6">
      <c r="A2" s="2" t="s">
        <v>103</v>
      </c>
    </row>
    <row r="4" spans="1:6">
      <c r="A4" s="5" t="s">
        <v>104</v>
      </c>
      <c r="B4" s="5"/>
      <c r="C4" s="5"/>
      <c r="D4" s="5"/>
      <c r="E4" s="5"/>
      <c r="F4" s="5"/>
    </row>
    <row r="5" spans="1:6">
      <c r="A5" s="3" t="s">
        <v>74</v>
      </c>
      <c r="B5" s="3" t="s">
        <v>75</v>
      </c>
      <c r="C5" s="3" t="s">
        <v>76</v>
      </c>
      <c r="D5" s="3" t="s">
        <v>49</v>
      </c>
      <c r="E5" s="3" t="s">
        <v>83</v>
      </c>
      <c r="F5" s="3" t="s">
        <v>16</v>
      </c>
    </row>
    <row r="6" spans="1:6">
      <c r="A6" s="4" t="s">
        <v>105</v>
      </c>
      <c r="B6" s="4"/>
      <c r="C6" s="4" t="s">
        <v>53</v>
      </c>
      <c r="D6" s="4"/>
      <c r="E6" s="4"/>
      <c r="F6" s="7"/>
    </row>
    <row r="7" spans="1:6">
      <c r="A7" s="4" t="s">
        <v>106</v>
      </c>
      <c r="B7" s="4"/>
      <c r="C7" s="4" t="s">
        <v>53</v>
      </c>
      <c r="D7" s="4"/>
      <c r="E7" s="4"/>
      <c r="F7" s="7"/>
    </row>
    <row r="9" spans="1:6">
      <c r="A9" s="5" t="s">
        <v>107</v>
      </c>
      <c r="B9" s="5"/>
      <c r="C9" s="5"/>
      <c r="D9" s="5"/>
      <c r="E9" s="5"/>
      <c r="F9" s="5"/>
    </row>
    <row r="10" spans="1:6">
      <c r="A10" s="3" t="s">
        <v>74</v>
      </c>
      <c r="B10" s="3" t="s">
        <v>75</v>
      </c>
      <c r="C10" s="3" t="s">
        <v>76</v>
      </c>
      <c r="D10" s="3" t="s">
        <v>49</v>
      </c>
      <c r="E10" s="3" t="s">
        <v>83</v>
      </c>
      <c r="F10" s="3" t="s">
        <v>16</v>
      </c>
    </row>
    <row r="11" spans="1:6">
      <c r="A11" s="4" t="s">
        <v>108</v>
      </c>
      <c r="B11" s="4" t="s">
        <v>87</v>
      </c>
      <c r="C11" s="4" t="s">
        <v>53</v>
      </c>
      <c r="D11" s="4"/>
      <c r="E11" s="4"/>
      <c r="F11" s="7"/>
    </row>
    <row r="12" spans="1:6">
      <c r="A12" s="4" t="s">
        <v>109</v>
      </c>
      <c r="B12" s="4" t="s">
        <v>87</v>
      </c>
      <c r="C12" s="10">
        <v>20.24</v>
      </c>
      <c r="D12" s="4" t="s">
        <v>58</v>
      </c>
      <c r="E12" s="4"/>
      <c r="F12" s="7" t="s">
        <v>93</v>
      </c>
    </row>
    <row r="14" spans="1:6">
      <c r="A14" s="5" t="s">
        <v>110</v>
      </c>
      <c r="B14" s="5"/>
      <c r="C14" s="5"/>
      <c r="D14" s="5"/>
      <c r="E14" s="5"/>
      <c r="F14" s="5"/>
    </row>
    <row r="15" spans="1:6">
      <c r="A15" s="3" t="s">
        <v>74</v>
      </c>
      <c r="B15" s="3" t="s">
        <v>75</v>
      </c>
      <c r="C15" s="3" t="s">
        <v>76</v>
      </c>
      <c r="D15" s="3" t="s">
        <v>49</v>
      </c>
      <c r="E15" s="3" t="s">
        <v>83</v>
      </c>
      <c r="F15" s="3" t="s">
        <v>16</v>
      </c>
    </row>
    <row r="16" spans="1:6">
      <c r="A16" s="4" t="s">
        <v>111</v>
      </c>
      <c r="B16" s="4" t="s">
        <v>87</v>
      </c>
      <c r="C16" s="4" t="s">
        <v>53</v>
      </c>
      <c r="D16" s="4"/>
      <c r="E16" s="4"/>
      <c r="F16" s="7"/>
    </row>
    <row r="17" spans="1:6">
      <c r="A17" s="4" t="s">
        <v>112</v>
      </c>
      <c r="B17" s="4" t="s">
        <v>87</v>
      </c>
      <c r="C17" s="10">
        <v>59.56</v>
      </c>
      <c r="D17" s="4" t="s">
        <v>58</v>
      </c>
      <c r="E17" s="4"/>
      <c r="F17" s="7" t="s">
        <v>113</v>
      </c>
    </row>
    <row r="19" spans="1:6">
      <c r="A19" s="5" t="s">
        <v>114</v>
      </c>
      <c r="B19" s="5"/>
      <c r="C19" s="5"/>
      <c r="D19" s="5"/>
      <c r="E19" s="5"/>
      <c r="F19" s="5"/>
    </row>
    <row r="20" spans="1:6">
      <c r="A20" s="3" t="s">
        <v>115</v>
      </c>
      <c r="B20" s="3" t="s">
        <v>116</v>
      </c>
      <c r="C20" s="3" t="s">
        <v>117</v>
      </c>
      <c r="D20" s="3" t="s">
        <v>49</v>
      </c>
      <c r="E20" s="3" t="s">
        <v>50</v>
      </c>
      <c r="F20" s="3" t="s">
        <v>16</v>
      </c>
    </row>
    <row r="21" spans="1:6">
      <c r="A21" s="4" t="s">
        <v>118</v>
      </c>
      <c r="B21" s="8" t="s">
        <v>119</v>
      </c>
      <c r="C21" s="4" t="s">
        <v>53</v>
      </c>
      <c r="D21" s="4"/>
      <c r="E21" s="4" t="s">
        <v>56</v>
      </c>
      <c r="F21" s="7"/>
    </row>
    <row r="23" spans="1:6">
      <c r="A23" s="5" t="s">
        <v>120</v>
      </c>
      <c r="B23" s="5"/>
      <c r="C23" s="5"/>
      <c r="D23" s="5"/>
      <c r="E23" s="5"/>
      <c r="F23" s="5"/>
    </row>
    <row r="24" spans="1:6">
      <c r="A24" s="9" t="s">
        <v>121</v>
      </c>
      <c r="B24" s="4" t="s">
        <v>122</v>
      </c>
      <c r="C24" s="4"/>
      <c r="D24" s="4"/>
      <c r="E24" s="4"/>
      <c r="F24" s="7" t="s">
        <v>88</v>
      </c>
    </row>
    <row r="25" spans="1:6">
      <c r="A25" s="9" t="s">
        <v>123</v>
      </c>
      <c r="B25" s="4" t="s">
        <v>124</v>
      </c>
      <c r="C25" s="4"/>
      <c r="D25" s="4"/>
      <c r="E25" s="4"/>
      <c r="F25" s="7" t="s">
        <v>113</v>
      </c>
    </row>
  </sheetData>
  <mergeCells count="8">
    <mergeCell ref="A1:F1"/>
    <mergeCell ref="A4:F4"/>
    <mergeCell ref="A9:F9"/>
    <mergeCell ref="A14:F14"/>
    <mergeCell ref="A19:F19"/>
    <mergeCell ref="A23:F23"/>
    <mergeCell ref="B24:E24"/>
    <mergeCell ref="B25:E25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6" width="18.7109375" customWidth="1"/>
  </cols>
  <sheetData>
    <row r="1" spans="1:6">
      <c r="A1" s="1" t="s">
        <v>125</v>
      </c>
      <c r="B1" s="1"/>
      <c r="C1" s="1"/>
      <c r="D1" s="1"/>
      <c r="E1" s="1"/>
      <c r="F1" s="1"/>
    </row>
    <row r="2" spans="1:6">
      <c r="A2" s="2" t="s">
        <v>126</v>
      </c>
    </row>
    <row r="4" spans="1:6">
      <c r="A4" s="3" t="s">
        <v>127</v>
      </c>
      <c r="B4" s="3" t="s">
        <v>128</v>
      </c>
      <c r="C4" s="3" t="s">
        <v>49</v>
      </c>
      <c r="D4" s="3" t="s">
        <v>129</v>
      </c>
      <c r="E4" s="3" t="s">
        <v>130</v>
      </c>
      <c r="F4" s="3" t="s">
        <v>16</v>
      </c>
    </row>
    <row r="5" spans="1:6">
      <c r="A5" s="4" t="s">
        <v>92</v>
      </c>
      <c r="B5" s="10">
        <v>20.24</v>
      </c>
      <c r="C5" s="4" t="s">
        <v>58</v>
      </c>
      <c r="D5" s="4"/>
      <c r="E5" s="4"/>
      <c r="F5" s="7" t="s">
        <v>93</v>
      </c>
    </row>
  </sheetData>
  <mergeCells count="1">
    <mergeCell ref="A1:F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7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0.7109375" customWidth="1"/>
    <col min="2" max="5" width="18.7109375" customWidth="1"/>
  </cols>
  <sheetData>
    <row r="1" spans="1:6">
      <c r="A1" s="1" t="s">
        <v>131</v>
      </c>
      <c r="B1" s="1"/>
      <c r="C1" s="1"/>
      <c r="D1" s="1"/>
      <c r="E1" s="1"/>
      <c r="F1" s="1"/>
    </row>
    <row r="2" spans="1:6">
      <c r="A2" s="2" t="s">
        <v>132</v>
      </c>
    </row>
    <row r="4" spans="1:6">
      <c r="A4" s="4" t="s">
        <v>133</v>
      </c>
      <c r="B4" s="4"/>
      <c r="C4" s="4"/>
      <c r="D4" s="4"/>
      <c r="E4" s="4"/>
    </row>
    <row r="5" spans="1:6">
      <c r="A5" s="4"/>
      <c r="B5" s="4"/>
      <c r="C5" s="4"/>
      <c r="D5" s="4"/>
      <c r="E5" s="4"/>
    </row>
    <row r="7" spans="1:6">
      <c r="A7" s="5" t="s">
        <v>134</v>
      </c>
      <c r="B7" s="5"/>
      <c r="C7" s="5"/>
      <c r="D7" s="5"/>
      <c r="E7" s="5"/>
    </row>
    <row r="8" spans="1:6">
      <c r="A8" s="3" t="s">
        <v>47</v>
      </c>
      <c r="B8" s="3" t="s">
        <v>76</v>
      </c>
      <c r="C8" s="3" t="s">
        <v>49</v>
      </c>
      <c r="D8" s="3" t="s">
        <v>50</v>
      </c>
      <c r="E8" s="3" t="s">
        <v>16</v>
      </c>
    </row>
    <row r="9" spans="1:6">
      <c r="A9" s="4" t="s">
        <v>135</v>
      </c>
      <c r="B9" s="10">
        <v>18921770</v>
      </c>
      <c r="C9" s="4"/>
      <c r="D9" s="4" t="s">
        <v>59</v>
      </c>
      <c r="E9" s="7" t="s">
        <v>136</v>
      </c>
    </row>
    <row r="10" spans="1:6">
      <c r="A10" s="4" t="s">
        <v>137</v>
      </c>
      <c r="B10" s="10">
        <v>17559696</v>
      </c>
      <c r="C10" s="4" t="s">
        <v>138</v>
      </c>
      <c r="D10" s="4" t="s">
        <v>59</v>
      </c>
      <c r="E10" s="7" t="s">
        <v>139</v>
      </c>
    </row>
    <row r="11" spans="1:6">
      <c r="A11" s="4" t="s">
        <v>112</v>
      </c>
      <c r="B11" s="10">
        <v>59.56</v>
      </c>
      <c r="C11" s="4" t="s">
        <v>58</v>
      </c>
      <c r="D11" s="4" t="s">
        <v>59</v>
      </c>
      <c r="E11" s="7" t="s">
        <v>113</v>
      </c>
    </row>
    <row r="13" spans="1:6">
      <c r="A13" s="5" t="s">
        <v>140</v>
      </c>
      <c r="B13" s="5"/>
      <c r="C13" s="5"/>
      <c r="D13" s="5"/>
      <c r="E13" s="5"/>
    </row>
    <row r="14" spans="1:6">
      <c r="A14" s="3" t="s">
        <v>141</v>
      </c>
      <c r="B14" s="3" t="s">
        <v>14</v>
      </c>
      <c r="C14" s="3" t="s">
        <v>142</v>
      </c>
      <c r="D14" s="3" t="s">
        <v>16</v>
      </c>
      <c r="E14" s="3"/>
    </row>
    <row r="15" spans="1:6">
      <c r="A15" s="4" t="s">
        <v>143</v>
      </c>
      <c r="B15" s="6" t="s">
        <v>18</v>
      </c>
      <c r="C15" s="4" t="s">
        <v>19</v>
      </c>
      <c r="D15" s="4" t="s">
        <v>20</v>
      </c>
      <c r="E15" s="4"/>
    </row>
    <row r="16" spans="1:6">
      <c r="A16" s="4" t="s">
        <v>144</v>
      </c>
      <c r="B16" s="8" t="s">
        <v>23</v>
      </c>
      <c r="C16" s="4" t="s">
        <v>24</v>
      </c>
      <c r="D16" s="4" t="s">
        <v>145</v>
      </c>
      <c r="E16" s="4"/>
    </row>
    <row r="17" spans="1:5">
      <c r="A17" s="4" t="s">
        <v>146</v>
      </c>
      <c r="B17" s="6" t="s">
        <v>18</v>
      </c>
      <c r="C17" s="4" t="s">
        <v>28</v>
      </c>
      <c r="D17" s="4" t="s">
        <v>147</v>
      </c>
      <c r="E17" s="4"/>
    </row>
  </sheetData>
  <mergeCells count="7">
    <mergeCell ref="A1:F1"/>
    <mergeCell ref="A4:E5"/>
    <mergeCell ref="A7:E7"/>
    <mergeCell ref="A13:E13"/>
    <mergeCell ref="D15:E15"/>
    <mergeCell ref="D16:E16"/>
    <mergeCell ref="D17:E17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3" width="18.7109375" customWidth="1"/>
    <col min="4" max="4" width="42.7109375" customWidth="1"/>
    <col min="5" max="8" width="14.7109375" customWidth="1"/>
  </cols>
  <sheetData>
    <row r="1" spans="1:8">
      <c r="A1" s="1" t="s">
        <v>148</v>
      </c>
      <c r="B1" s="1"/>
      <c r="C1" s="1"/>
      <c r="D1" s="1"/>
      <c r="E1" s="1"/>
      <c r="F1" s="1"/>
    </row>
    <row r="2" spans="1:8">
      <c r="A2" s="2" t="s">
        <v>149</v>
      </c>
    </row>
    <row r="4" spans="1:8">
      <c r="A4" s="3" t="s">
        <v>150</v>
      </c>
      <c r="B4" s="3" t="s">
        <v>151</v>
      </c>
      <c r="C4" s="3" t="s">
        <v>152</v>
      </c>
      <c r="D4" s="3" t="s">
        <v>153</v>
      </c>
      <c r="E4" s="3" t="s">
        <v>154</v>
      </c>
      <c r="F4" s="3" t="s">
        <v>155</v>
      </c>
      <c r="G4" s="3" t="s">
        <v>156</v>
      </c>
      <c r="H4" s="3" t="s">
        <v>157</v>
      </c>
    </row>
    <row r="5" spans="1:8">
      <c r="A5" s="4" t="s">
        <v>158</v>
      </c>
      <c r="B5" s="4" t="s">
        <v>159</v>
      </c>
      <c r="C5" s="4" t="s">
        <v>160</v>
      </c>
      <c r="D5" s="4" t="s">
        <v>161</v>
      </c>
      <c r="E5" s="4" t="s">
        <v>162</v>
      </c>
      <c r="F5" s="4"/>
      <c r="G5" s="4"/>
      <c r="H5" s="4" t="s">
        <v>163</v>
      </c>
    </row>
    <row r="6" spans="1:8">
      <c r="A6" s="4" t="s">
        <v>21</v>
      </c>
      <c r="B6" s="4" t="s">
        <v>164</v>
      </c>
      <c r="C6" s="4" t="s">
        <v>160</v>
      </c>
      <c r="D6" s="4" t="s">
        <v>20</v>
      </c>
      <c r="E6" s="4" t="s">
        <v>165</v>
      </c>
      <c r="F6" s="4" t="s">
        <v>166</v>
      </c>
      <c r="G6" s="4" t="s">
        <v>167</v>
      </c>
      <c r="H6" s="4" t="s">
        <v>163</v>
      </c>
    </row>
    <row r="7" spans="1:8">
      <c r="A7" s="4" t="s">
        <v>26</v>
      </c>
      <c r="B7" s="4" t="s">
        <v>168</v>
      </c>
      <c r="C7" s="4" t="s">
        <v>160</v>
      </c>
      <c r="D7" s="4" t="s">
        <v>25</v>
      </c>
      <c r="E7" s="4" t="s">
        <v>165</v>
      </c>
      <c r="F7" s="4" t="s">
        <v>166</v>
      </c>
      <c r="G7" s="4" t="s">
        <v>167</v>
      </c>
      <c r="H7" s="4" t="s">
        <v>169</v>
      </c>
    </row>
    <row r="8" spans="1:8">
      <c r="A8" s="4" t="s">
        <v>30</v>
      </c>
      <c r="B8" s="4" t="s">
        <v>170</v>
      </c>
      <c r="C8" s="4" t="s">
        <v>160</v>
      </c>
      <c r="D8" s="4" t="s">
        <v>29</v>
      </c>
      <c r="E8" s="4" t="s">
        <v>165</v>
      </c>
      <c r="F8" s="4" t="s">
        <v>171</v>
      </c>
      <c r="G8" s="4" t="s">
        <v>172</v>
      </c>
      <c r="H8" s="4" t="s">
        <v>163</v>
      </c>
    </row>
    <row r="9" spans="1:8">
      <c r="A9" s="4" t="s">
        <v>34</v>
      </c>
      <c r="B9" s="4" t="s">
        <v>173</v>
      </c>
      <c r="C9" s="4" t="s">
        <v>160</v>
      </c>
      <c r="D9" s="4" t="s">
        <v>33</v>
      </c>
      <c r="E9" s="4" t="s">
        <v>165</v>
      </c>
      <c r="F9" s="4" t="s">
        <v>174</v>
      </c>
      <c r="G9" s="4" t="s">
        <v>175</v>
      </c>
      <c r="H9" s="4" t="s">
        <v>169</v>
      </c>
    </row>
    <row r="10" spans="1:8">
      <c r="A10" s="4" t="s">
        <v>38</v>
      </c>
      <c r="B10" s="4" t="s">
        <v>176</v>
      </c>
      <c r="C10" s="4" t="s">
        <v>160</v>
      </c>
      <c r="D10" s="4" t="s">
        <v>37</v>
      </c>
      <c r="E10" s="4" t="s">
        <v>165</v>
      </c>
      <c r="F10" s="4" t="s">
        <v>177</v>
      </c>
      <c r="G10" s="4" t="s">
        <v>178</v>
      </c>
      <c r="H10" s="4" t="s">
        <v>163</v>
      </c>
    </row>
    <row r="11" spans="1:8">
      <c r="A11" s="4" t="s">
        <v>60</v>
      </c>
      <c r="B11" s="4" t="s">
        <v>179</v>
      </c>
      <c r="C11" s="4" t="s">
        <v>180</v>
      </c>
      <c r="D11" s="4" t="s">
        <v>181</v>
      </c>
      <c r="E11" s="4" t="s">
        <v>165</v>
      </c>
      <c r="F11" s="4" t="s">
        <v>177</v>
      </c>
      <c r="G11" s="4" t="s">
        <v>178</v>
      </c>
      <c r="H11" s="4" t="s">
        <v>169</v>
      </c>
    </row>
    <row r="12" spans="1:8">
      <c r="A12" s="4" t="s">
        <v>88</v>
      </c>
      <c r="B12" s="4" t="s">
        <v>182</v>
      </c>
      <c r="C12" s="4" t="s">
        <v>180</v>
      </c>
      <c r="D12" s="4" t="s">
        <v>183</v>
      </c>
      <c r="E12" s="4" t="s">
        <v>165</v>
      </c>
      <c r="F12" s="4" t="s">
        <v>184</v>
      </c>
      <c r="G12" s="4" t="s">
        <v>185</v>
      </c>
      <c r="H12" s="4" t="s">
        <v>169</v>
      </c>
    </row>
    <row r="13" spans="1:8">
      <c r="A13" s="4" t="s">
        <v>93</v>
      </c>
      <c r="B13" s="4" t="s">
        <v>186</v>
      </c>
      <c r="C13" s="4" t="s">
        <v>187</v>
      </c>
      <c r="D13" s="4" t="s">
        <v>188</v>
      </c>
      <c r="E13" s="4" t="s">
        <v>165</v>
      </c>
      <c r="F13" s="4" t="s">
        <v>189</v>
      </c>
      <c r="G13" s="4" t="s">
        <v>190</v>
      </c>
      <c r="H13" s="4" t="s">
        <v>169</v>
      </c>
    </row>
    <row r="14" spans="1:8">
      <c r="A14" s="4" t="s">
        <v>113</v>
      </c>
      <c r="B14" s="4" t="s">
        <v>191</v>
      </c>
      <c r="C14" s="4" t="s">
        <v>192</v>
      </c>
      <c r="D14" s="4" t="s">
        <v>193</v>
      </c>
      <c r="E14" s="4" t="s">
        <v>165</v>
      </c>
      <c r="F14" s="4" t="s">
        <v>194</v>
      </c>
      <c r="G14" s="4" t="s">
        <v>195</v>
      </c>
      <c r="H14" s="4" t="s">
        <v>169</v>
      </c>
    </row>
    <row r="15" spans="1:8">
      <c r="A15" s="4" t="s">
        <v>196</v>
      </c>
      <c r="B15" s="4" t="s">
        <v>197</v>
      </c>
      <c r="C15" s="4" t="s">
        <v>198</v>
      </c>
      <c r="D15" s="4" t="s">
        <v>199</v>
      </c>
      <c r="E15" s="4" t="s">
        <v>165</v>
      </c>
      <c r="F15" s="4" t="s">
        <v>166</v>
      </c>
      <c r="G15" s="4" t="s">
        <v>167</v>
      </c>
      <c r="H15" s="4" t="s">
        <v>169</v>
      </c>
    </row>
    <row r="16" spans="1:8">
      <c r="A16" s="4" t="s">
        <v>136</v>
      </c>
      <c r="B16" s="4" t="s">
        <v>200</v>
      </c>
      <c r="C16" s="4" t="s">
        <v>198</v>
      </c>
      <c r="D16" s="4" t="s">
        <v>201</v>
      </c>
      <c r="E16" s="4" t="s">
        <v>165</v>
      </c>
      <c r="F16" s="4" t="s">
        <v>166</v>
      </c>
      <c r="G16" s="4" t="s">
        <v>167</v>
      </c>
      <c r="H16" s="4" t="s">
        <v>169</v>
      </c>
    </row>
    <row r="17" spans="1:8">
      <c r="A17" s="4" t="s">
        <v>139</v>
      </c>
      <c r="B17" s="4" t="s">
        <v>200</v>
      </c>
      <c r="C17" s="4" t="s">
        <v>198</v>
      </c>
      <c r="D17" s="4" t="s">
        <v>25</v>
      </c>
      <c r="E17" s="4" t="s">
        <v>165</v>
      </c>
      <c r="F17" s="4" t="s">
        <v>166</v>
      </c>
      <c r="G17" s="4" t="s">
        <v>167</v>
      </c>
      <c r="H17" s="4" t="s">
        <v>169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00_overview</vt:lpstr>
      <vt:lpstr>01_kpi_dashboard</vt:lpstr>
      <vt:lpstr>02_financial_summary</vt:lpstr>
      <vt:lpstr>03_debt_profile</vt:lpstr>
      <vt:lpstr>04_liquidity_and_covenants</vt:lpstr>
      <vt:lpstr>05_bond_detail</vt:lpstr>
      <vt:lpstr>08_topic_restricted_assets</vt:lpstr>
      <vt:lpstr>99_evidence_index</vt:lpstr>
    </vt:vector>
  </TitlesOfParts>
  <Company>Codex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Soul - **公司**: 碧桂园地产集团有限公司</dc:title>
  <dc:subject>soul_v1_1_alpha</dc:subject>
  <dc:creator/>
  <cp:lastModifiedBy/>
  <dcterms:created xsi:type="dcterms:W3CDTF">2026-03-16T12:59:01Z</dcterms:created>
  <dcterms:modified xsi:type="dcterms:W3CDTF">2026-03-16T12:59:01Z</dcterms:modified>
</cp:coreProperties>
</file>