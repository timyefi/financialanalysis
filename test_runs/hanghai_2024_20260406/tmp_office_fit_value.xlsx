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80" yWindow="60" windowWidth="18195" windowHeight="8505" tabRatio="600" firstSheet="0" activeTab="5" autoFilterDateGrouping="1"/>
  </bookViews>
  <sheets>
    <sheet name="00_overview" sheetId="1" state="visible" r:id="rId1"/>
    <sheet name="01_kpi_dashboard" sheetId="2" state="visible" r:id="rId2"/>
    <sheet name="02_financial_summary" sheetId="3" state="visible" r:id="rId3"/>
    <sheet name="03_debt_profile" sheetId="4" state="visible" r:id="rId4"/>
    <sheet name="04_liquidity_and_covenants" sheetId="5" state="visible" r:id="rId5"/>
    <sheet name="05_financing_cost" sheetId="6" state="visible" r:id="rId6"/>
    <sheet name="06_platform_special" sheetId="7" state="visible" r:id="rId7"/>
    <sheet name="99_evidence_index" sheetId="8" state="visible" r:id="rId8"/>
    <sheet name="RAW_INPUTS" sheetId="9" state="visible" r:id="rId9"/>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family val="2"/>
      <b val="1"/>
      <color rgb="FFffffff"/>
      <sz val="11"/>
    </font>
    <font>
      <name val="Calibri"/>
      <family val="2"/>
      <color theme="1"/>
      <sz val="11"/>
    </font>
    <font>
      <name val="Calibri"/>
      <family val="2"/>
      <b val="1"/>
      <color rgb="FFffffff"/>
      <sz val="16"/>
    </font>
    <font>
      <name val="Calibri"/>
      <family val="2"/>
      <i val="1"/>
      <color rgb="FF4b5563"/>
      <sz val="11"/>
    </font>
    <font>
      <name val="Calibri"/>
      <family val="2"/>
      <b val="1"/>
      <color rgb="FF16324f"/>
      <sz val="11"/>
    </font>
    <font>
      <name val="Calibri"/>
      <family val="2"/>
      <color rgb="FF6b7280"/>
      <sz val="11"/>
    </font>
    <font>
      <name val="Calibri"/>
      <family val="2"/>
      <color rgb="FF9c0006"/>
      <sz val="11"/>
    </font>
    <font>
      <name val="Calibri"/>
      <family val="2"/>
      <color rgb="FF7f6000"/>
      <sz val="11"/>
    </font>
    <font>
      <name val="Calibri"/>
      <family val="2"/>
      <b val="1"/>
      <color rgb="FF000000"/>
      <sz val="11"/>
    </font>
    <font>
      <name val="Calibri"/>
      <family val="2"/>
      <color rgb="FF385723"/>
      <sz val="11"/>
    </font>
  </fonts>
  <fills count="9">
    <fill>
      <patternFill/>
    </fill>
    <fill>
      <patternFill patternType="gray125"/>
    </fill>
    <fill>
      <patternFill patternType="solid">
        <fgColor rgb="FF1f4e78"/>
      </patternFill>
    </fill>
    <fill>
      <patternFill patternType="solid">
        <fgColor rgb="FF16324f"/>
      </patternFill>
    </fill>
    <fill>
      <patternFill patternType="solid">
        <fgColor rgb="FFd9e2f3"/>
      </patternFill>
    </fill>
    <fill>
      <patternFill patternType="solid">
        <fgColor rgb="FFfde9d9"/>
      </patternFill>
    </fill>
    <fill>
      <patternFill patternType="solid">
        <fgColor rgb="FFfff2cc"/>
      </patternFill>
    </fill>
    <fill>
      <patternFill patternType="solid">
        <fgColor rgb="FFeaf0f7"/>
      </patternFill>
    </fill>
    <fill>
      <patternFill patternType="solid">
        <fgColor rgb="FFe2f0d9"/>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c6c6c6"/>
      </left>
      <right style="thin">
        <color rgb="FFc6c6c6"/>
      </right>
      <top style="thin">
        <color rgb="FFc6c6c6"/>
      </top>
      <bottom style="thin">
        <color rgb="FFc6c6c6"/>
      </bottom>
      <diagonal/>
    </border>
    <border>
      <left/>
      <right/>
      <top/>
      <bottom/>
      <diagonal/>
    </border>
    <border>
      <left/>
      <right/>
      <top style="thin">
        <color rgb="FFc6c6c6"/>
      </top>
      <bottom/>
      <diagonal/>
    </border>
    <border>
      <left/>
      <right style="thin">
        <color rgb="FFc6c6c6"/>
      </right>
      <top style="thin">
        <color rgb="FFc6c6c6"/>
      </top>
      <bottom/>
      <diagonal/>
    </border>
    <border>
      <left/>
      <right/>
      <top style="thin">
        <color rgb="FFc6c6c6"/>
      </top>
      <bottom style="thin">
        <color rgb="FFc6c6c6"/>
      </bottom>
      <diagonal/>
    </border>
    <border>
      <left/>
      <right style="thin">
        <color rgb="FFc6c6c6"/>
      </right>
      <top style="thin">
        <color rgb="FFc6c6c6"/>
      </top>
      <bottom style="thin">
        <color rgb="FFc6c6c6"/>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3"/>
  </cellStyleXfs>
  <cellXfs count="45">
    <xf numFmtId="0" fontId="0" fillId="0" borderId="0" pivotButton="0" quotePrefix="0" xfId="0"/>
    <xf numFmtId="0" fontId="1" fillId="2" borderId="1" applyAlignment="1" pivotButton="0" quotePrefix="0" xfId="0">
      <alignment horizontal="center" wrapText="1"/>
    </xf>
    <xf numFmtId="4" fontId="1" fillId="2" borderId="1" applyAlignment="1" pivotButton="0" quotePrefix="0" xfId="0">
      <alignment horizontal="center"/>
    </xf>
    <xf numFmtId="0" fontId="2" fillId="0" borderId="1" applyAlignment="1" pivotButton="0" quotePrefix="0" xfId="0">
      <alignment horizontal="left" wrapText="1"/>
    </xf>
    <xf numFmtId="4" fontId="2" fillId="0" borderId="1" applyAlignment="1" pivotButton="0" quotePrefix="0" xfId="0">
      <alignment horizontal="right"/>
    </xf>
    <xf numFmtId="0" fontId="0" fillId="0" borderId="0" applyAlignment="1" pivotButton="0" quotePrefix="0" xfId="0">
      <alignment horizontal="general" wrapText="1"/>
    </xf>
    <xf numFmtId="4" fontId="0" fillId="0" borderId="0" applyAlignment="1" pivotButton="0" quotePrefix="0" xfId="0">
      <alignment horizontal="right"/>
    </xf>
    <xf numFmtId="0" fontId="3" fillId="3" borderId="2" applyAlignment="1" pivotButton="0" quotePrefix="0" xfId="0">
      <alignment horizontal="left"/>
    </xf>
    <xf numFmtId="0" fontId="0" fillId="0" borderId="0" applyAlignment="1" pivotButton="0" quotePrefix="0" xfId="0">
      <alignment horizontal="general"/>
    </xf>
    <xf numFmtId="0" fontId="0" fillId="0" borderId="0" applyAlignment="1" pivotButton="0" quotePrefix="0" xfId="0">
      <alignment wrapText="1"/>
    </xf>
    <xf numFmtId="0" fontId="4" fillId="0" borderId="3" applyAlignment="1" pivotButton="0" quotePrefix="0" xfId="0">
      <alignment horizontal="left" wrapText="1"/>
    </xf>
    <xf numFmtId="0" fontId="0" fillId="0" borderId="0" applyAlignment="1" pivotButton="0" quotePrefix="0" xfId="0">
      <alignment horizontal="general" wrapText="1"/>
    </xf>
    <xf numFmtId="0" fontId="1" fillId="2" borderId="1" applyAlignment="1" pivotButton="0" quotePrefix="0" xfId="0">
      <alignment horizontal="center"/>
    </xf>
    <xf numFmtId="0" fontId="0" fillId="0" borderId="0" applyAlignment="1" pivotButton="0" quotePrefix="0" xfId="0">
      <alignment horizontal="general"/>
    </xf>
    <xf numFmtId="4" fontId="3" fillId="3" borderId="2" applyAlignment="1" pivotButton="0" quotePrefix="0" xfId="0">
      <alignment horizontal="left"/>
    </xf>
    <xf numFmtId="4" fontId="0" fillId="0" borderId="0" applyAlignment="1" pivotButton="0" quotePrefix="0" xfId="0">
      <alignment horizontal="general" wrapText="1"/>
    </xf>
    <xf numFmtId="4" fontId="0" fillId="0" borderId="0" applyAlignment="1" pivotButton="0" quotePrefix="0" xfId="0">
      <alignment horizontal="general"/>
    </xf>
    <xf numFmtId="0" fontId="2" fillId="0" borderId="1" applyAlignment="1" pivotButton="0" quotePrefix="0" xfId="0">
      <alignment horizontal="left" vertical="top" wrapText="1"/>
    </xf>
    <xf numFmtId="4" fontId="2" fillId="0" borderId="1" applyAlignment="1" pivotButton="0" quotePrefix="0" xfId="0">
      <alignment horizontal="left" wrapText="1"/>
    </xf>
    <xf numFmtId="0" fontId="5" fillId="4" borderId="1" applyAlignment="1" pivotButton="0" quotePrefix="0" xfId="0">
      <alignment horizontal="left"/>
    </xf>
    <xf numFmtId="4" fontId="5" fillId="4" borderId="1" applyAlignment="1" pivotButton="0" quotePrefix="0" xfId="0">
      <alignment horizontal="left"/>
    </xf>
    <xf numFmtId="0" fontId="6" fillId="0" borderId="1" applyAlignment="1" pivotButton="0" quotePrefix="0" xfId="0">
      <alignment horizontal="left" wrapText="1"/>
    </xf>
    <xf numFmtId="4" fontId="2" fillId="0" borderId="1" applyAlignment="1" pivotButton="0" quotePrefix="0" xfId="0">
      <alignment horizontal="left"/>
    </xf>
    <xf numFmtId="4" fontId="7" fillId="5" borderId="1" applyAlignment="1" pivotButton="0" quotePrefix="0" xfId="0">
      <alignment horizontal="left"/>
    </xf>
    <xf numFmtId="4" fontId="8" fillId="6" borderId="1" applyAlignment="1" pivotButton="0" quotePrefix="0" xfId="0">
      <alignment horizontal="left"/>
    </xf>
    <xf numFmtId="4" fontId="0" fillId="0" borderId="0" applyAlignment="1" pivotButton="0" quotePrefix="0" xfId="0">
      <alignment horizontal="general"/>
    </xf>
    <xf numFmtId="0" fontId="8" fillId="6" borderId="1" applyAlignment="1" pivotButton="0" quotePrefix="0" xfId="0">
      <alignment horizontal="left"/>
    </xf>
    <xf numFmtId="0" fontId="9" fillId="7" borderId="1" applyAlignment="1" pivotButton="0" quotePrefix="0" xfId="0">
      <alignment horizontal="left"/>
    </xf>
    <xf numFmtId="4" fontId="0" fillId="0" borderId="0" applyAlignment="1" pivotButton="0" quotePrefix="0" xfId="0">
      <alignment horizontal="right" wrapText="1"/>
    </xf>
    <xf numFmtId="4" fontId="4" fillId="0" borderId="3" applyAlignment="1" pivotButton="0" quotePrefix="0" xfId="0">
      <alignment horizontal="left" wrapText="1"/>
    </xf>
    <xf numFmtId="4" fontId="0" fillId="0" borderId="0" applyAlignment="1" pivotButton="0" quotePrefix="0" xfId="0">
      <alignment horizontal="right"/>
    </xf>
    <xf numFmtId="0" fontId="5" fillId="4" borderId="1" applyAlignment="1" pivotButton="0" quotePrefix="0" xfId="0">
      <alignment horizontal="left" vertical="top"/>
    </xf>
    <xf numFmtId="0" fontId="7" fillId="5" borderId="1" applyAlignment="1" pivotButton="0" quotePrefix="0" xfId="0">
      <alignment horizontal="left"/>
    </xf>
    <xf numFmtId="0" fontId="10" fillId="8" borderId="1" applyAlignment="1" pivotButton="0" quotePrefix="0" xfId="0">
      <alignment horizontal="left"/>
    </xf>
    <xf numFmtId="0" fontId="0" fillId="0" borderId="6" pivotButton="0" quotePrefix="0" xfId="0"/>
    <xf numFmtId="0" fontId="0" fillId="0" borderId="7" pivotButton="0" quotePrefix="0" xfId="0"/>
    <xf numFmtId="0" fontId="0" fillId="0" borderId="10" pivotButton="0" quotePrefix="0" xfId="0"/>
    <xf numFmtId="0" fontId="0" fillId="0" borderId="11" pivotButton="0" quotePrefix="0" xfId="0"/>
    <xf numFmtId="0" fontId="0" fillId="0" borderId="13" pivotButton="0" quotePrefix="0" xfId="0"/>
    <xf numFmtId="0" fontId="0" fillId="0" borderId="14" pivotButton="0" quotePrefix="0" xfId="0"/>
    <xf numFmtId="0" fontId="0" fillId="0" borderId="8" pivotButton="0" quotePrefix="0" xfId="0"/>
    <xf numFmtId="0" fontId="0" fillId="0" borderId="9" pivotButton="0" quotePrefix="0" xfId="0"/>
    <xf numFmtId="0" fontId="0" fillId="0" borderId="16" pivotButton="0" quotePrefix="0" xfId="0"/>
    <xf numFmtId="0" fontId="0" fillId="0" borderId="17" pivotButton="0" quotePrefix="0" xfId="0"/>
    <xf numFmtId="0" fontId="0" fillId="0" borderId="18"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fitToPage="1"/>
  </sheetPr>
  <dimension ref="A1:F25"/>
  <sheetViews>
    <sheetView workbookViewId="0">
      <pane xSplit="0" ySplit="2" topLeftCell="A3" activePane="bottomLeft" state="frozen"/>
      <selection activeCell="A1" sqref="A1"/>
    </sheetView>
  </sheetViews>
  <sheetFormatPr baseColWidth="8" defaultRowHeight="15"/>
  <cols>
    <col width="16.71928571428571" bestFit="1" customWidth="1" style="13" min="1" max="1"/>
    <col width="22.71928571428571" bestFit="1" customWidth="1" style="13" min="2" max="2"/>
    <col width="24.71928571428571" bestFit="1" customWidth="1" style="13" min="3" max="3"/>
    <col width="24.71928571428571" bestFit="1" customWidth="1" style="13" min="4" max="4"/>
    <col width="24.71928571428571" bestFit="1" customWidth="1" style="13" min="5" max="5"/>
    <col width="24.71928571428571" bestFit="1" customWidth="1" style="13" min="6" max="6"/>
  </cols>
  <sheetData>
    <row r="1" ht="17.25" customHeight="1">
      <c r="A1" s="7" t="inlineStr">
        <is>
          <t>Soul v1.1-alpha 概览</t>
        </is>
      </c>
      <c r="B1" s="34" t="n"/>
      <c r="C1" s="34" t="n"/>
      <c r="D1" s="34" t="n"/>
      <c r="E1" s="34" t="n"/>
      <c r="F1" s="35" t="n"/>
    </row>
    <row r="2" ht="17.25" customFormat="1" customHeight="1" s="9">
      <c r="A2" s="10" t="inlineStr">
        <is>
          <t>浙江杭海新城控股集团有限公司 | 2024 | CNY | lgfv</t>
        </is>
      </c>
      <c r="B2" s="11" t="n"/>
      <c r="C2" s="11" t="n"/>
      <c r="D2" s="11" t="n"/>
      <c r="E2" s="11" t="n"/>
      <c r="F2" s="11" t="n"/>
    </row>
    <row r="3" ht="17.25" customHeight="1">
      <c r="A3" s="13" t="n"/>
      <c r="B3" s="13" t="n"/>
      <c r="C3" s="13" t="n"/>
      <c r="D3" s="13" t="n"/>
      <c r="E3" s="13" t="n"/>
      <c r="F3" s="13" t="n"/>
    </row>
    <row r="4" ht="34.5" customHeight="1">
      <c r="A4" s="12" t="inlineStr">
        <is>
          <t>公司名称</t>
        </is>
      </c>
      <c r="B4" s="3" t="inlineStr">
        <is>
          <t>浙江杭海新城控股集团有限公司</t>
        </is>
      </c>
      <c r="C4" s="12" t="inlineStr">
        <is>
          <t>审计意见</t>
        </is>
      </c>
      <c r="D4" s="3" t="inlineStr">
        <is>
          <t>未识别</t>
        </is>
      </c>
      <c r="E4" s="12" t="inlineStr">
        <is>
          <t>报告类型</t>
        </is>
      </c>
      <c r="F4" s="3" t="inlineStr">
        <is>
          <t>a_share_full_report</t>
        </is>
      </c>
    </row>
    <row r="5" ht="17.25" customHeight="1">
      <c r="A5" s="13" t="n"/>
      <c r="B5" s="13" t="n"/>
      <c r="C5" s="13" t="n"/>
      <c r="D5" s="13" t="n"/>
      <c r="E5" s="13" t="n"/>
      <c r="F5" s="13" t="n"/>
    </row>
    <row r="6" ht="21.75" customHeight="1">
      <c r="A6" s="19" t="inlineStr">
        <is>
          <t>执行摘要</t>
        </is>
      </c>
      <c r="B6" s="36" t="n"/>
      <c r="C6" s="36" t="n"/>
      <c r="D6" s="36" t="n"/>
      <c r="E6" s="36" t="n"/>
      <c r="F6" s="37" t="n"/>
    </row>
    <row r="7" ht="20.25" customFormat="1" customHeight="1" s="9">
      <c r="A7" s="3" t="inlineStr">
        <is>
          <t>公司仍保持“平台公司+开发经营”双重属性，报告期末资产总额 809.95 亿元，负债总额 530.00 亿元，归母所有者权益 247.81 亿元。</t>
        </is>
      </c>
      <c r="B7" s="36" t="n"/>
      <c r="C7" s="36" t="n"/>
      <c r="D7" s="36" t="n"/>
      <c r="E7" s="36" t="n"/>
      <c r="F7" s="37" t="n"/>
    </row>
    <row r="8" ht="20.25" customFormat="1" customHeight="1" s="9">
      <c r="A8" s="3" t="inlineStr">
        <is>
          <t>收入端表面平稳，全年营业收入 12.51 亿元、净利润 0.81 亿元，但经营现金流净额为 -68.73 亿元，利润与现金回收明显背离。</t>
        </is>
      </c>
      <c r="B8" s="36" t="n"/>
      <c r="C8" s="36" t="n"/>
      <c r="D8" s="36" t="n"/>
      <c r="E8" s="36" t="n"/>
      <c r="F8" s="37" t="n"/>
    </row>
    <row r="9" ht="20.25" customFormat="1" customHeight="1" s="9">
      <c r="A9" s="3" t="inlineStr">
        <is>
          <t>存货 610.31 亿元、应收账款 19.58 亿元、其他应收款 61.07 亿元，资产结构高度偏向土地开发、代建和平台往来。</t>
        </is>
      </c>
      <c r="B9" s="36" t="n"/>
      <c r="C9" s="36" t="n"/>
      <c r="D9" s="36" t="n"/>
      <c r="E9" s="36" t="n"/>
      <c r="F9" s="37" t="n"/>
    </row>
    <row r="10" ht="21" customFormat="1" customHeight="1" s="9">
      <c r="A10" s="3" t="inlineStr">
        <is>
          <t>有息负债规模较大，短期借款 67.44 亿元，一年内到期非流动负债 27.09 亿元，应付债券 79.14 亿元，流动性依赖再融资和政府支持。</t>
        </is>
      </c>
      <c r="B10" s="36" t="n"/>
      <c r="C10" s="36" t="n"/>
      <c r="D10" s="36" t="n"/>
      <c r="E10" s="36" t="n"/>
      <c r="F10" s="37" t="n"/>
    </row>
    <row r="11" ht="17.25" customHeight="1">
      <c r="A11" s="13" t="n"/>
      <c r="B11" s="13" t="n"/>
      <c r="C11" s="13" t="n"/>
      <c r="D11" s="13" t="n"/>
      <c r="E11" s="13" t="n"/>
      <c r="F11" s="13" t="n"/>
    </row>
    <row r="12" ht="21.75" customHeight="1">
      <c r="A12" s="19" t="inlineStr">
        <is>
          <t>关键风险</t>
        </is>
      </c>
      <c r="B12" s="36" t="n"/>
      <c r="C12" s="36" t="n"/>
      <c r="D12" s="36" t="n"/>
      <c r="E12" s="36" t="n"/>
      <c r="F12" s="37" t="n"/>
    </row>
    <row r="13" ht="21.75" customHeight="1">
      <c r="A13" s="12" t="inlineStr">
        <is>
          <t>风险</t>
        </is>
      </c>
      <c r="B13" s="12" t="inlineStr">
        <is>
          <t>等级</t>
        </is>
      </c>
      <c r="C13" s="12" t="inlineStr">
        <is>
          <t>说明</t>
        </is>
      </c>
      <c r="D13" s="12" t="inlineStr">
        <is>
          <t>证据</t>
        </is>
      </c>
      <c r="E13" s="13" t="n"/>
      <c r="F13" s="13" t="n"/>
    </row>
    <row r="14" ht="139.5" customHeight="1">
      <c r="A14" s="3" t="inlineStr">
        <is>
          <t>再融资依赖</t>
        </is>
      </c>
      <c r="B14" s="32" t="inlineStr">
        <is>
          <t>高</t>
        </is>
      </c>
      <c r="C14" s="3" t="inlineStr">
        <is>
          <t>短期借款和一年内到期债务合计规模较大，期末现金短债比仅约 0.28 倍。</t>
        </is>
      </c>
      <c r="D14" s="3" t="inlineStr">
        <is>
          <t># 五、合并财务报表项目注释 # (一) 合并资产负债表项目注释 # 1. 货币资金 # (1) 明细情况 项目 期末数 期初数 库存现金 7,953.43 26,404.10 银行存款 1,917,588,357.41 2,288,119,772.34 其他货币资金 143,679,696.95 114,916,2…</t>
        </is>
      </c>
      <c r="E14" s="21" t="inlineStr">
        <is>
          <t>EVD-0009</t>
        </is>
      </c>
      <c r="F14" s="37" t="n"/>
    </row>
    <row r="15" ht="126" customHeight="1">
      <c r="A15" s="3" t="inlineStr">
        <is>
          <t>低效占资</t>
        </is>
      </c>
      <c r="B15" s="32" t="inlineStr">
        <is>
          <t>高</t>
        </is>
      </c>
      <c r="C15" s="3" t="inlineStr">
        <is>
          <t>存货、预付款和往来款占用资金量大，经营现金流持续为负，资产周转压力高。</t>
        </is>
      </c>
      <c r="D15" s="3" t="inlineStr">
        <is>
          <t>项目名称 期末数 期初数 土地一级开发项目 40,121,108,899.97 32,972,588,134.89 代建项目 13,542,806,227.42 12,618,894,844.40 保障安置房 2,328,279,411.70 2,220,168,821.39 小计 55,992,194,539.09…</t>
        </is>
      </c>
      <c r="E15" s="21" t="inlineStr">
        <is>
          <t>EVD-0010</t>
        </is>
      </c>
      <c r="F15" s="37" t="n"/>
    </row>
    <row r="16" ht="139.5" customHeight="1">
      <c r="A16" s="3" t="inlineStr">
        <is>
          <t>关联与政府项目依赖</t>
        </is>
      </c>
      <c r="B16" s="26" t="inlineStr">
        <is>
          <t>中</t>
        </is>
      </c>
      <c r="C16" s="3" t="inlineStr">
        <is>
          <t>应收、预付、租赁和往来关系大量集中于政府及国有平台，外部市场化回款属性偏弱。</t>
        </is>
      </c>
      <c r="D16" s="3" t="inlineStr">
        <is>
          <t># 五、合并财务报表项目注释 # (一) 合并资产负债表项目注释 # 1. 货币资金 # (1) 明细情况 项目 期末数 期初数 库存现金 7,953.43 26,404.10 银行存款 1,917,588,357.41 2,288,119,772.34 其他货币资金 143,679,696.95 114,916,2…</t>
        </is>
      </c>
      <c r="E16" s="21" t="inlineStr">
        <is>
          <t>EVD-0009</t>
        </is>
      </c>
      <c r="F16" s="37" t="n"/>
    </row>
    <row r="17" ht="126" customHeight="1">
      <c r="A17" s="3" t="inlineStr">
        <is>
          <t>或有负债与担保</t>
        </is>
      </c>
      <c r="B17" s="32" t="inlineStr">
        <is>
          <t>高</t>
        </is>
      </c>
      <c r="C17" s="3" t="inlineStr">
        <is>
          <t>对外担保余额较大，且涉及多家平台公司与长期到期项目，尾部风险需要持续跟踪。</t>
        </is>
      </c>
      <c r="D17" s="3" t="inlineStr">
        <is>
          <t>项目名称 期末数 期初数 土地一级开发项目 40,121,108,899.97 32,972,588,134.89 代建项目 13,542,806,227.42 12,618,894,844.40 保障安置房 2,328,279,411.70 2,220,168,821.39 小计 55,992,194,539.09…</t>
        </is>
      </c>
      <c r="E17" s="21" t="inlineStr">
        <is>
          <t>EVD-0010</t>
        </is>
      </c>
      <c r="F17" s="37" t="n"/>
    </row>
    <row r="18" ht="140.25" customHeight="1">
      <c r="A18" s="3" t="inlineStr">
        <is>
          <t>融资成本侵蚀利润</t>
        </is>
      </c>
      <c r="B18" s="32" t="inlineStr">
        <is>
          <t>高</t>
        </is>
      </c>
      <c r="C18" s="3" t="inlineStr">
        <is>
          <t>财务费用率接近四分之一，净利息负担仍处高位，融资成本持续消耗利润空间。</t>
        </is>
      </c>
      <c r="D18" s="3" t="inlineStr">
        <is>
          <t># 五、合并财务报表项目注释 # (一) 合并资产负债表项目注释 # 1. 货币资金 # (1) 明细情况 项目 期末数 期初数 库存现金 7,953.43 26,404.10 银行存款 1,917,588,357.41 2,288,119,772.34 其他货币资金 143,679,696.95 114,916,2…</t>
        </is>
      </c>
      <c r="E18" s="21" t="inlineStr">
        <is>
          <t>EVD-0009</t>
        </is>
      </c>
      <c r="F18" s="37" t="n"/>
    </row>
    <row r="19" ht="17.25" customHeight="1">
      <c r="A19" s="13" t="n"/>
      <c r="B19" s="13" t="n"/>
      <c r="C19" s="13" t="n"/>
      <c r="D19" s="13" t="n"/>
      <c r="E19" s="13" t="n"/>
      <c r="F19" s="13" t="n"/>
    </row>
    <row r="20" ht="21.75" customHeight="1">
      <c r="A20" s="19" t="inlineStr">
        <is>
          <t>报告亮点</t>
        </is>
      </c>
      <c r="B20" s="36" t="n"/>
      <c r="C20" s="36" t="n"/>
      <c r="D20" s="36" t="n"/>
      <c r="E20" s="36" t="n"/>
      <c r="F20" s="37" t="n"/>
    </row>
    <row r="21" ht="21.75" customHeight="1">
      <c r="A21" s="27" t="inlineStr">
        <is>
          <t>收入与利润</t>
        </is>
      </c>
      <c r="B21" s="3" t="inlineStr">
        <is>
          <t>营业收入 12.51 亿元，营业利润 0.92 亿元，净利润 0.81 亿元，仍能维持正向利润，但利润质量受政府补助和非经常性因素影响较大。</t>
        </is>
      </c>
      <c r="C21" s="36" t="n"/>
      <c r="D21" s="36" t="n"/>
      <c r="E21" s="36" t="n"/>
      <c r="F21" s="37" t="n"/>
    </row>
    <row r="22" ht="21.75" customHeight="1">
      <c r="A22" s="27" t="inlineStr">
        <is>
          <t>现金流</t>
        </is>
      </c>
      <c r="B22" s="3" t="inlineStr">
        <is>
          <t>经营活动现金流净额 -68.73 亿元，投资活动净流出 8.80 亿元，全年主要依靠筹资活动净流入 73.88 亿元对冲。</t>
        </is>
      </c>
      <c r="C22" s="36" t="n"/>
      <c r="D22" s="36" t="n"/>
      <c r="E22" s="36" t="n"/>
      <c r="F22" s="37" t="n"/>
    </row>
    <row r="23" ht="21.75" customHeight="1">
      <c r="A23" s="27" t="inlineStr">
        <is>
          <t>资产结构</t>
        </is>
      </c>
      <c r="B23" s="3" t="inlineStr">
        <is>
          <t>存货 610.31 亿元，其中开发成本 559.92 亿元；投资性房地产 45.50 亿元，在建工程 13.85 亿元，典型平台开发资产占比高。</t>
        </is>
      </c>
      <c r="C23" s="36" t="n"/>
      <c r="D23" s="36" t="n"/>
      <c r="E23" s="36" t="n"/>
      <c r="F23" s="37" t="n"/>
    </row>
    <row r="24" ht="21.75" customHeight="1">
      <c r="A24" s="27" t="inlineStr">
        <is>
          <t>融资成本</t>
        </is>
      </c>
      <c r="B24" s="3" t="inlineStr">
        <is>
          <t>财务费用 3.09 亿元，利息支出 3.12 亿元，财务费用率约 24.72%，说明融资成本对利润形成持续挤压。</t>
        </is>
      </c>
      <c r="C24" s="36" t="n"/>
      <c r="D24" s="36" t="n"/>
      <c r="E24" s="36" t="n"/>
      <c r="F24" s="37" t="n"/>
    </row>
    <row r="25" ht="22.5" customHeight="1">
      <c r="A25" s="27" t="inlineStr">
        <is>
          <t>负债结构</t>
        </is>
      </c>
      <c r="B25" s="3" t="inlineStr">
        <is>
          <t>短期借款 67.44 亿元、长期借款 277.45 亿元、应付债券 79.14 亿元，融资结构以银行及债券融资为主。</t>
        </is>
      </c>
      <c r="C25" s="36" t="n"/>
      <c r="D25" s="36" t="n"/>
      <c r="E25" s="36" t="n"/>
      <c r="F25" s="37" t="n"/>
    </row>
  </sheetData>
  <mergeCells count="18">
    <mergeCell ref="B21:F21"/>
    <mergeCell ref="A10:F10"/>
    <mergeCell ref="E16:F16"/>
    <mergeCell ref="B24:F24"/>
    <mergeCell ref="E15:F15"/>
    <mergeCell ref="A1:F1"/>
    <mergeCell ref="B25:F25"/>
    <mergeCell ref="A9:F9"/>
    <mergeCell ref="A8:F8"/>
    <mergeCell ref="A6:F6"/>
    <mergeCell ref="B23:F23"/>
    <mergeCell ref="A12:F12"/>
    <mergeCell ref="E14:F14"/>
    <mergeCell ref="B22:F22"/>
    <mergeCell ref="A20:F20"/>
    <mergeCell ref="E17:F17"/>
    <mergeCell ref="E18:F18"/>
    <mergeCell ref="A7:F7"/>
  </mergeCells>
  <pageMargins left="0.25" right="0.25" top="0.3" bottom="0.3" header="0.3" footer="0.3"/>
  <pageSetup orientation="landscape" fitToHeight="1" fitToWidth="1"/>
</worksheet>
</file>

<file path=xl/worksheets/sheet2.xml><?xml version="1.0" encoding="utf-8"?>
<worksheet xmlns="http://schemas.openxmlformats.org/spreadsheetml/2006/main">
  <sheetPr>
    <outlinePr summaryBelow="0"/>
    <pageSetUpPr fitToPage="1"/>
  </sheetPr>
  <dimension ref="A1:H20"/>
  <sheetViews>
    <sheetView workbookViewId="0">
      <pane xSplit="0" ySplit="2" topLeftCell="A3" activePane="bottomLeft" state="frozen"/>
      <selection activeCell="A1" sqref="A1"/>
    </sheetView>
  </sheetViews>
  <sheetFormatPr baseColWidth="8" defaultRowHeight="15"/>
  <cols>
    <col width="14.71928571428571" bestFit="1" customWidth="1" style="13" min="1" max="1"/>
    <col width="22.71928571428571" bestFit="1" customWidth="1" style="13" min="2" max="2"/>
    <col width="14.71928571428571" bestFit="1" customWidth="1" style="30" min="3" max="3"/>
    <col width="12.71928571428571" bestFit="1" customWidth="1" style="13" min="4" max="4"/>
    <col width="12.71928571428571" bestFit="1" customWidth="1" style="13" min="5" max="5"/>
    <col width="12.71928571428571" bestFit="1" customWidth="1" style="13" min="6" max="6"/>
    <col width="14.71928571428571" bestFit="1" customWidth="1" style="13" min="7" max="7"/>
    <col width="24.71928571428571" bestFit="1" customWidth="1" style="13" min="8" max="8"/>
  </cols>
  <sheetData>
    <row r="1" ht="17.25" customHeight="1">
      <c r="A1" s="7" t="inlineStr">
        <is>
          <t>KPI Dashboard</t>
        </is>
      </c>
      <c r="B1" s="34" t="n"/>
      <c r="C1" s="34" t="n"/>
      <c r="D1" s="34" t="n"/>
      <c r="E1" s="34" t="n"/>
      <c r="F1" s="35" t="n"/>
      <c r="G1" s="13" t="n"/>
      <c r="H1" s="13" t="n"/>
    </row>
    <row r="2" ht="17.25" customFormat="1" customHeight="1" s="9">
      <c r="A2" s="10" t="inlineStr">
        <is>
          <t>固定骨架模块 01</t>
        </is>
      </c>
      <c r="B2" s="11" t="n"/>
      <c r="C2" s="28" t="n"/>
      <c r="D2" s="11" t="n"/>
      <c r="E2" s="11" t="n"/>
      <c r="F2" s="11" t="n"/>
      <c r="G2" s="11" t="n"/>
      <c r="H2" s="11" t="n"/>
    </row>
    <row r="3" ht="17.25" customHeight="1">
      <c r="A3" s="13" t="n"/>
      <c r="B3" s="13" t="n"/>
      <c r="C3" s="30" t="n"/>
      <c r="D3" s="13" t="n"/>
      <c r="E3" s="13" t="n"/>
      <c r="F3" s="13" t="n"/>
      <c r="G3" s="13" t="n"/>
      <c r="H3" s="13" t="n"/>
    </row>
    <row r="4" ht="17.25" customHeight="1">
      <c r="A4" s="12" t="inlineStr">
        <is>
          <t>分类</t>
        </is>
      </c>
      <c r="B4" s="12" t="inlineStr">
        <is>
          <t>指标</t>
        </is>
      </c>
      <c r="C4" s="2" t="inlineStr">
        <is>
          <t>当前值</t>
        </is>
      </c>
      <c r="D4" s="12" t="inlineStr">
        <is>
          <t>单位</t>
        </is>
      </c>
      <c r="E4" s="12" t="inlineStr">
        <is>
          <t>风险</t>
        </is>
      </c>
      <c r="F4" s="12" t="inlineStr">
        <is>
          <t>来源</t>
        </is>
      </c>
      <c r="G4" s="12" t="inlineStr">
        <is>
          <t>对比</t>
        </is>
      </c>
      <c r="H4" s="12" t="inlineStr">
        <is>
          <t>证据</t>
        </is>
      </c>
    </row>
    <row r="5" ht="17.25" customHeight="1">
      <c r="A5" s="31" t="inlineStr">
        <is>
          <t>杠杆</t>
        </is>
      </c>
      <c r="B5" s="3" t="inlineStr">
        <is>
          <t>资产总额</t>
        </is>
      </c>
      <c r="C5" s="4">
        <f>'RAW_INPUTS'!$B$11</f>
        <v/>
      </c>
      <c r="D5" s="3" t="inlineStr">
        <is>
          <t>亿元</t>
        </is>
      </c>
      <c r="E5" s="26" t="inlineStr">
        <is>
          <t>中</t>
        </is>
      </c>
      <c r="F5" s="3" t="inlineStr">
        <is>
          <t>合并资产负债表</t>
        </is>
      </c>
      <c r="G5" s="3" t="inlineStr">
        <is>
          <t>较上年增加 116.04 亿元</t>
        </is>
      </c>
      <c r="H5" s="21" t="inlineStr">
        <is>
          <t>EVD-0009</t>
        </is>
      </c>
    </row>
    <row r="6" ht="17.25" customHeight="1">
      <c r="A6" s="38" t="n"/>
      <c r="B6" s="3" t="inlineStr">
        <is>
          <t>负债总额</t>
        </is>
      </c>
      <c r="C6" s="4">
        <f>'RAW_INPUTS'!$B$12</f>
        <v/>
      </c>
      <c r="D6" s="3" t="inlineStr">
        <is>
          <t>亿元</t>
        </is>
      </c>
      <c r="E6" s="32" t="inlineStr">
        <is>
          <t>高</t>
        </is>
      </c>
      <c r="F6" s="3" t="inlineStr">
        <is>
          <t>合并资产负债表</t>
        </is>
      </c>
      <c r="G6" s="3" t="inlineStr">
        <is>
          <t>负债率约 65.4%</t>
        </is>
      </c>
      <c r="H6" s="21" t="inlineStr">
        <is>
          <t>EVD-0009</t>
        </is>
      </c>
    </row>
    <row r="7" ht="17.25" customHeight="1">
      <c r="A7" s="38" t="n"/>
      <c r="B7" s="3" t="inlineStr">
        <is>
          <t>权益占比</t>
        </is>
      </c>
      <c r="C7" s="4">
        <f>IFERROR(('RAW_INPUTS'!$B$11-'RAW_INPUTS'!$B$12)/'RAW_INPUTS'!$B$11*100,"")</f>
        <v/>
      </c>
      <c r="D7" s="3" t="n"/>
      <c r="E7" s="26" t="inlineStr">
        <is>
          <t>中</t>
        </is>
      </c>
      <c r="F7" s="3" t="inlineStr">
        <is>
          <t>合并资产负债表</t>
        </is>
      </c>
      <c r="G7" s="3" t="inlineStr">
        <is>
          <t>归母权益 247.81 亿元</t>
        </is>
      </c>
      <c r="H7" s="21" t="inlineStr">
        <is>
          <t>EVD-0009</t>
        </is>
      </c>
    </row>
    <row r="8" ht="17.25" customHeight="1">
      <c r="A8" s="39" t="n"/>
      <c r="B8" s="3" t="inlineStr">
        <is>
          <t>流动比率</t>
        </is>
      </c>
      <c r="C8" s="4">
        <f>IFERROR('RAW_INPUTS'!$B$30/'RAW_INPUTS'!$B$31,"")</f>
        <v/>
      </c>
      <c r="D8" s="3" t="inlineStr">
        <is>
          <t>x</t>
        </is>
      </c>
      <c r="E8" s="33" t="inlineStr">
        <is>
          <t>低</t>
        </is>
      </c>
      <c r="F8" s="3" t="inlineStr">
        <is>
          <t>资产负债表推算</t>
        </is>
      </c>
      <c r="G8" s="3" t="inlineStr">
        <is>
          <t>流动资产 722.16 亿元 / 流动负债 131.83 亿元</t>
        </is>
      </c>
      <c r="H8" s="21" t="inlineStr">
        <is>
          <t>EVD-0009</t>
        </is>
      </c>
    </row>
    <row r="9" ht="17.25" customHeight="1">
      <c r="A9" s="31" t="inlineStr">
        <is>
          <t>偿债</t>
        </is>
      </c>
      <c r="B9" s="3" t="inlineStr">
        <is>
          <t>现金及现金等价物</t>
        </is>
      </c>
      <c r="C9" s="4">
        <f>'RAW_INPUTS'!$B$40</f>
        <v/>
      </c>
      <c r="D9" s="3" t="inlineStr">
        <is>
          <t>亿元</t>
        </is>
      </c>
      <c r="E9" s="26" t="inlineStr">
        <is>
          <t>中</t>
        </is>
      </c>
      <c r="F9" s="3" t="inlineStr">
        <is>
          <t>现金流量表</t>
        </is>
      </c>
      <c r="G9" s="3" t="inlineStr">
        <is>
          <t>期末现金 19.18 亿元</t>
        </is>
      </c>
      <c r="H9" s="21" t="inlineStr">
        <is>
          <t>EVD-0009</t>
        </is>
      </c>
    </row>
    <row r="10" ht="17.25" customHeight="1">
      <c r="A10" s="38" t="n"/>
      <c r="B10" s="3" t="inlineStr">
        <is>
          <t>现金短债比</t>
        </is>
      </c>
      <c r="C10" s="4">
        <f>IFERROR('RAW_INPUTS'!$B$40/'RAW_INPUTS'!$B$42,"")</f>
        <v/>
      </c>
      <c r="D10" s="3" t="inlineStr">
        <is>
          <t>x</t>
        </is>
      </c>
      <c r="E10" s="32" t="inlineStr">
        <is>
          <t>高</t>
        </is>
      </c>
      <c r="F10" s="3" t="inlineStr">
        <is>
          <t>计算指标</t>
        </is>
      </c>
      <c r="G10" s="3" t="inlineStr">
        <is>
          <t>低于 1 倍</t>
        </is>
      </c>
      <c r="H10" s="21" t="inlineStr">
        <is>
          <t>EVD-0009</t>
        </is>
      </c>
    </row>
    <row r="11" ht="17.25" customHeight="1">
      <c r="A11" s="38" t="n"/>
      <c r="B11" s="3" t="inlineStr">
        <is>
          <t>一年内到期债务</t>
        </is>
      </c>
      <c r="C11" s="4">
        <f>'RAW_INPUTS'!$B$17</f>
        <v/>
      </c>
      <c r="D11" s="3" t="inlineStr">
        <is>
          <t>亿元</t>
        </is>
      </c>
      <c r="E11" s="32" t="inlineStr">
        <is>
          <t>高</t>
        </is>
      </c>
      <c r="F11" s="3" t="inlineStr">
        <is>
          <t>长期负债到期结构</t>
        </is>
      </c>
      <c r="G11" s="3" t="inlineStr">
        <is>
          <t>一年内到期债务较大</t>
        </is>
      </c>
      <c r="H11" s="21" t="inlineStr">
        <is>
          <t>EVD-0009</t>
        </is>
      </c>
    </row>
    <row r="12" ht="17.25" customHeight="1">
      <c r="A12" s="39" t="n"/>
      <c r="B12" s="3" t="inlineStr">
        <is>
          <t>计息负债合计</t>
        </is>
      </c>
      <c r="C12" s="4">
        <f>'RAW_INPUTS'!$B$18</f>
        <v/>
      </c>
      <c r="D12" s="3" t="inlineStr">
        <is>
          <t>亿元</t>
        </is>
      </c>
      <c r="E12" s="32" t="inlineStr">
        <is>
          <t>高</t>
        </is>
      </c>
      <c r="F12" s="3" t="inlineStr">
        <is>
          <t>筹资活动负债变动表</t>
        </is>
      </c>
      <c r="G12" s="3" t="inlineStr">
        <is>
          <t>以银行借款和债券为主</t>
        </is>
      </c>
      <c r="H12" s="21" t="inlineStr">
        <is>
          <t>EVD-0009</t>
        </is>
      </c>
    </row>
    <row r="13" ht="17.25" customHeight="1">
      <c r="A13" s="31" t="inlineStr">
        <is>
          <t>盈利</t>
        </is>
      </c>
      <c r="B13" s="3" t="inlineStr">
        <is>
          <t>营业收入</t>
        </is>
      </c>
      <c r="C13" s="4">
        <f>'RAW_INPUTS'!$B$19</f>
        <v/>
      </c>
      <c r="D13" s="3" t="inlineStr">
        <is>
          <t>亿元</t>
        </is>
      </c>
      <c r="E13" s="26" t="inlineStr">
        <is>
          <t>中</t>
        </is>
      </c>
      <c r="F13" s="3" t="inlineStr">
        <is>
          <t>合并利润表</t>
        </is>
      </c>
      <c r="G13" s="3" t="inlineStr">
        <is>
          <t>同比增长 15.1%</t>
        </is>
      </c>
      <c r="H13" s="21" t="inlineStr">
        <is>
          <t>EVD-0009</t>
        </is>
      </c>
    </row>
    <row r="14" ht="17.25" customHeight="1">
      <c r="A14" s="38" t="n"/>
      <c r="B14" s="3" t="inlineStr">
        <is>
          <t>净利润</t>
        </is>
      </c>
      <c r="C14" s="4">
        <f>'RAW_INPUTS'!$B$20</f>
        <v/>
      </c>
      <c r="D14" s="3" t="inlineStr">
        <is>
          <t>亿元</t>
        </is>
      </c>
      <c r="E14" s="26" t="inlineStr">
        <is>
          <t>中</t>
        </is>
      </c>
      <c r="F14" s="3" t="inlineStr">
        <is>
          <t>合并利润表</t>
        </is>
      </c>
      <c r="G14" s="3" t="inlineStr">
        <is>
          <t>净利率约 6.5%</t>
        </is>
      </c>
      <c r="H14" s="21" t="inlineStr">
        <is>
          <t>EVD-0009</t>
        </is>
      </c>
    </row>
    <row r="15" ht="17.25" customHeight="1">
      <c r="A15" s="38" t="n"/>
      <c r="B15" s="3" t="inlineStr">
        <is>
          <t>归母净利润</t>
        </is>
      </c>
      <c r="C15" s="4">
        <f>'RAW_INPUTS'!$B$21</f>
        <v/>
      </c>
      <c r="D15" s="3" t="inlineStr">
        <is>
          <t>亿元</t>
        </is>
      </c>
      <c r="E15" s="26" t="inlineStr">
        <is>
          <t>中</t>
        </is>
      </c>
      <c r="F15" s="3" t="inlineStr">
        <is>
          <t>合并利润表</t>
        </is>
      </c>
      <c r="G15" s="3" t="inlineStr">
        <is>
          <t>少数股东损益贡献较大</t>
        </is>
      </c>
      <c r="H15" s="21" t="inlineStr">
        <is>
          <t>EVD-0009</t>
        </is>
      </c>
    </row>
    <row r="16" ht="17.25" customHeight="1">
      <c r="A16" s="39" t="n"/>
      <c r="B16" s="3" t="inlineStr">
        <is>
          <t>毛利率</t>
        </is>
      </c>
      <c r="C16" s="4">
        <f>IFERROR(('RAW_INPUTS'!$B$32-'RAW_INPUTS'!$B$33)/'RAW_INPUTS'!$B$32*100,"")</f>
        <v/>
      </c>
      <c r="D16" s="3" t="n"/>
      <c r="E16" s="32" t="inlineStr">
        <is>
          <t>高</t>
        </is>
      </c>
      <c r="F16" s="3" t="inlineStr">
        <is>
          <t>收入成本测算</t>
        </is>
      </c>
      <c r="G16" s="3" t="inlineStr">
        <is>
          <t>收入 12.51 亿元 / 成本 12.12 亿元</t>
        </is>
      </c>
      <c r="H16" s="21" t="inlineStr">
        <is>
          <t>EVD-0009</t>
        </is>
      </c>
    </row>
    <row r="17" ht="17.25" customHeight="1">
      <c r="A17" s="31" t="inlineStr">
        <is>
          <t>现金流</t>
        </is>
      </c>
      <c r="B17" s="3" t="inlineStr">
        <is>
          <t>经营活动现金流净额</t>
        </is>
      </c>
      <c r="C17" s="4">
        <f>'RAW_INPUTS'!$B$23</f>
        <v/>
      </c>
      <c r="D17" s="3" t="inlineStr">
        <is>
          <t>亿元</t>
        </is>
      </c>
      <c r="E17" s="32" t="inlineStr">
        <is>
          <t>高</t>
        </is>
      </c>
      <c r="F17" s="3" t="inlineStr">
        <is>
          <t>合并现金流量表</t>
        </is>
      </c>
      <c r="G17" s="3" t="inlineStr">
        <is>
          <t>持续为负</t>
        </is>
      </c>
      <c r="H17" s="21" t="inlineStr">
        <is>
          <t>EVD-0009</t>
        </is>
      </c>
    </row>
    <row r="18" ht="17.25" customHeight="1">
      <c r="A18" s="38" t="n"/>
      <c r="B18" s="3" t="inlineStr">
        <is>
          <t>投资活动现金流净额</t>
        </is>
      </c>
      <c r="C18" s="4">
        <f>'RAW_INPUTS'!$B$24</f>
        <v/>
      </c>
      <c r="D18" s="3" t="inlineStr">
        <is>
          <t>亿元</t>
        </is>
      </c>
      <c r="E18" s="26" t="inlineStr">
        <is>
          <t>中</t>
        </is>
      </c>
      <c r="F18" s="3" t="inlineStr">
        <is>
          <t>合并现金流量表</t>
        </is>
      </c>
      <c r="G18" s="3" t="inlineStr">
        <is>
          <t>继续投向项目与股权</t>
        </is>
      </c>
      <c r="H18" s="21" t="inlineStr">
        <is>
          <t>EVD-0009</t>
        </is>
      </c>
    </row>
    <row r="19" ht="17.25" customHeight="1">
      <c r="A19" s="38" t="n"/>
      <c r="B19" s="3" t="inlineStr">
        <is>
          <t>筹资活动现金流净额</t>
        </is>
      </c>
      <c r="C19" s="4">
        <f>'RAW_INPUTS'!$B$25</f>
        <v/>
      </c>
      <c r="D19" s="3" t="inlineStr">
        <is>
          <t>亿元</t>
        </is>
      </c>
      <c r="E19" s="32" t="inlineStr">
        <is>
          <t>高</t>
        </is>
      </c>
      <c r="F19" s="3" t="inlineStr">
        <is>
          <t>合并现金流量表</t>
        </is>
      </c>
      <c r="G19" s="3" t="inlineStr">
        <is>
          <t>依赖外部融资补流</t>
        </is>
      </c>
      <c r="H19" s="21" t="inlineStr">
        <is>
          <t>EVD-0009</t>
        </is>
      </c>
    </row>
    <row r="20" ht="17.25" customHeight="1">
      <c r="A20" s="39" t="n"/>
      <c r="B20" s="3" t="inlineStr">
        <is>
          <t>受限资金</t>
        </is>
      </c>
      <c r="C20" s="4">
        <f>'RAW_INPUTS'!$B$26</f>
        <v/>
      </c>
      <c r="D20" s="3" t="inlineStr">
        <is>
          <t>亿元</t>
        </is>
      </c>
      <c r="E20" s="26" t="inlineStr">
        <is>
          <t>中</t>
        </is>
      </c>
      <c r="F20" s="3" t="inlineStr">
        <is>
          <t>受限资产注释</t>
        </is>
      </c>
      <c r="G20" s="3" t="inlineStr">
        <is>
          <t>资金受限约 1.44 亿元</t>
        </is>
      </c>
      <c r="H20" s="21" t="inlineStr">
        <is>
          <t>EVD-0009</t>
        </is>
      </c>
    </row>
  </sheetData>
  <mergeCells count="5">
    <mergeCell ref="A13:A16"/>
    <mergeCell ref="A9:A12"/>
    <mergeCell ref="A1:F1"/>
    <mergeCell ref="A17:A20"/>
    <mergeCell ref="A5:A8"/>
  </mergeCells>
  <pageMargins left="0.25" right="0.25" top="0.3" bottom="0.3" header="0.3" footer="0.3"/>
  <pageSetup orientation="landscape" fitToHeight="1" fitToWidth="1"/>
</worksheet>
</file>

<file path=xl/worksheets/sheet3.xml><?xml version="1.0" encoding="utf-8"?>
<worksheet xmlns="http://schemas.openxmlformats.org/spreadsheetml/2006/main">
  <sheetPr>
    <outlinePr summaryBelow="0"/>
    <pageSetUpPr fitToPage="1"/>
  </sheetPr>
  <dimension ref="A1:F26"/>
  <sheetViews>
    <sheetView workbookViewId="0">
      <pane xSplit="0" ySplit="2" topLeftCell="A3" activePane="bottomLeft" state="frozen"/>
      <selection activeCell="A1" sqref="A1"/>
    </sheetView>
  </sheetViews>
  <sheetFormatPr baseColWidth="8" defaultRowHeight="15"/>
  <cols>
    <col width="24.71928571428571" bestFit="1" customWidth="1" style="13" min="1" max="1"/>
    <col width="16.71928571428571" bestFit="1" customWidth="1" style="13" min="2" max="2"/>
    <col width="16.71928571428571" bestFit="1" customWidth="1" style="30" min="3" max="3"/>
    <col width="16.71928571428571" bestFit="1" customWidth="1" style="13" min="4" max="4"/>
    <col width="16.71928571428571" bestFit="1" customWidth="1" style="13" min="5" max="5"/>
    <col width="12.43357142857143" bestFit="1" customWidth="1" style="13" min="6" max="6"/>
  </cols>
  <sheetData>
    <row r="1" ht="17.25" customHeight="1">
      <c r="A1" s="7" t="inlineStr">
        <is>
          <t>Financial Summary</t>
        </is>
      </c>
      <c r="B1" s="34" t="n"/>
      <c r="C1" s="34" t="n"/>
      <c r="D1" s="34" t="n"/>
      <c r="E1" s="34" t="n"/>
      <c r="F1" s="35" t="n"/>
    </row>
    <row r="2" ht="17.25" customFormat="1" customHeight="1" s="9">
      <c r="A2" s="10" t="inlineStr">
        <is>
          <t>固定骨架模块 02</t>
        </is>
      </c>
      <c r="B2" s="11" t="n"/>
      <c r="C2" s="28" t="n"/>
      <c r="D2" s="11" t="n"/>
      <c r="E2" s="11" t="n"/>
      <c r="F2" s="11" t="n"/>
    </row>
    <row r="3" ht="17.25" customFormat="1" customHeight="1" s="9">
      <c r="A3" s="10" t="inlineStr">
        <is>
          <t>以合并报表三大表和核心附注为依据，单位统一换算为亿元展示。</t>
        </is>
      </c>
      <c r="F3" s="11" t="n"/>
    </row>
    <row r="4" ht="17.25" customHeight="1">
      <c r="A4" s="13" t="n"/>
      <c r="B4" s="13" t="n"/>
      <c r="C4" s="30" t="n"/>
      <c r="D4" s="13" t="n"/>
      <c r="E4" s="13" t="n"/>
      <c r="F4" s="13" t="n"/>
    </row>
    <row r="5" ht="17.25" customHeight="1">
      <c r="A5" s="19" t="inlineStr">
        <is>
          <t>资产负债表摘要</t>
        </is>
      </c>
      <c r="B5" s="36" t="n"/>
      <c r="C5" s="36" t="n"/>
      <c r="D5" s="36" t="n"/>
      <c r="E5" s="37" t="n"/>
      <c r="F5" s="13" t="n"/>
    </row>
    <row r="6" ht="17.25" customHeight="1">
      <c r="A6" s="12" t="inlineStr">
        <is>
          <t>项目</t>
        </is>
      </c>
      <c r="B6" s="12" t="inlineStr">
        <is>
          <t>期间</t>
        </is>
      </c>
      <c r="C6" s="2" t="inlineStr">
        <is>
          <t>数值</t>
        </is>
      </c>
      <c r="D6" s="12" t="inlineStr">
        <is>
          <t>单位</t>
        </is>
      </c>
      <c r="E6" s="12" t="inlineStr">
        <is>
          <t>说明</t>
        </is>
      </c>
      <c r="F6" s="13" t="n"/>
    </row>
    <row r="7" ht="17.25" customHeight="1">
      <c r="A7" s="3" t="inlineStr">
        <is>
          <t>资产总计</t>
        </is>
      </c>
      <c r="B7" s="3" t="inlineStr">
        <is>
          <t>2024-12-31</t>
        </is>
      </c>
      <c r="C7" s="4">
        <f>'RAW_INPUTS'!$B$27</f>
        <v/>
      </c>
      <c r="D7" s="3" t="inlineStr">
        <is>
          <t>亿元</t>
        </is>
      </c>
      <c r="E7" s="3" t="inlineStr">
        <is>
          <t>资产端继续扩张。</t>
        </is>
      </c>
      <c r="F7" s="13" t="n"/>
    </row>
    <row r="8" ht="17.25" customHeight="1">
      <c r="A8" s="3" t="inlineStr">
        <is>
          <t>负债合计</t>
        </is>
      </c>
      <c r="B8" s="3" t="inlineStr">
        <is>
          <t>2024-12-31</t>
        </is>
      </c>
      <c r="C8" s="4">
        <f>'RAW_INPUTS'!$B$28</f>
        <v/>
      </c>
      <c r="D8" s="3" t="inlineStr">
        <is>
          <t>亿元</t>
        </is>
      </c>
      <c r="E8" s="3" t="inlineStr">
        <is>
          <t>有息负债与往来负债占比高。</t>
        </is>
      </c>
      <c r="F8" s="13" t="n"/>
    </row>
    <row r="9" ht="17.25" customHeight="1">
      <c r="A9" s="3" t="inlineStr">
        <is>
          <t>归母所有者权益</t>
        </is>
      </c>
      <c r="B9" s="3" t="inlineStr">
        <is>
          <t>2024-12-31</t>
        </is>
      </c>
      <c r="C9" s="4">
        <f>'RAW_INPUTS'!$B$29</f>
        <v/>
      </c>
      <c r="D9" s="3" t="inlineStr">
        <is>
          <t>亿元</t>
        </is>
      </c>
      <c r="E9" s="3" t="inlineStr">
        <is>
          <t>资本公积和未分配利润构成主体。</t>
        </is>
      </c>
      <c r="F9" s="13" t="n"/>
    </row>
    <row r="10" ht="17.25" customHeight="1">
      <c r="A10" s="3" t="inlineStr">
        <is>
          <t>流动资产合计</t>
        </is>
      </c>
      <c r="B10" s="3" t="inlineStr">
        <is>
          <t>2024-12-31</t>
        </is>
      </c>
      <c r="C10" s="4">
        <f>'RAW_INPUTS'!$B$30</f>
        <v/>
      </c>
      <c r="D10" s="3" t="inlineStr">
        <is>
          <t>亿元</t>
        </is>
      </c>
      <c r="E10" s="3" t="inlineStr">
        <is>
          <t>流动资产占比极高。</t>
        </is>
      </c>
      <c r="F10" s="13" t="n"/>
    </row>
    <row r="11" ht="17.25" customHeight="1">
      <c r="A11" s="3" t="inlineStr">
        <is>
          <t>流动负债合计</t>
        </is>
      </c>
      <c r="B11" s="3" t="inlineStr">
        <is>
          <t>2024-12-31</t>
        </is>
      </c>
      <c r="C11" s="4">
        <f>'RAW_INPUTS'!$B$31</f>
        <v/>
      </c>
      <c r="D11" s="3" t="inlineStr">
        <is>
          <t>亿元</t>
        </is>
      </c>
      <c r="E11" s="3" t="inlineStr">
        <is>
          <t>一年内到期债务压力仍然存在。</t>
        </is>
      </c>
      <c r="F11" s="13" t="n"/>
    </row>
    <row r="12" ht="17.25" customHeight="1">
      <c r="A12" s="13" t="n"/>
      <c r="B12" s="13" t="n"/>
      <c r="C12" s="30" t="n"/>
      <c r="D12" s="13" t="n"/>
      <c r="E12" s="13" t="n"/>
      <c r="F12" s="13" t="n"/>
    </row>
    <row r="13" ht="17.25" customHeight="1">
      <c r="A13" s="19" t="inlineStr">
        <is>
          <t>利润表摘要</t>
        </is>
      </c>
      <c r="B13" s="36" t="n"/>
      <c r="C13" s="36" t="n"/>
      <c r="D13" s="36" t="n"/>
      <c r="E13" s="37" t="n"/>
      <c r="F13" s="13" t="n"/>
    </row>
    <row r="14" ht="17.25" customHeight="1">
      <c r="A14" s="12" t="inlineStr">
        <is>
          <t>项目</t>
        </is>
      </c>
      <c r="B14" s="12" t="inlineStr">
        <is>
          <t>期间</t>
        </is>
      </c>
      <c r="C14" s="2" t="inlineStr">
        <is>
          <t>数值</t>
        </is>
      </c>
      <c r="D14" s="12" t="inlineStr">
        <is>
          <t>单位</t>
        </is>
      </c>
      <c r="E14" s="12" t="inlineStr">
        <is>
          <t>说明</t>
        </is>
      </c>
      <c r="F14" s="13" t="n"/>
    </row>
    <row r="15" ht="17.25" customHeight="1">
      <c r="A15" s="3" t="inlineStr">
        <is>
          <t>营业收入</t>
        </is>
      </c>
      <c r="B15" s="3" t="inlineStr">
        <is>
          <t>2024</t>
        </is>
      </c>
      <c r="C15" s="4">
        <f>'RAW_INPUTS'!$B$32</f>
        <v/>
      </c>
      <c r="D15" s="3" t="inlineStr">
        <is>
          <t>亿元</t>
        </is>
      </c>
      <c r="E15" s="3" t="inlineStr">
        <is>
          <t>同比增长。</t>
        </is>
      </c>
      <c r="F15" s="13" t="n"/>
    </row>
    <row r="16" ht="17.25" customHeight="1">
      <c r="A16" s="3" t="inlineStr">
        <is>
          <t>营业成本</t>
        </is>
      </c>
      <c r="B16" s="3" t="inlineStr">
        <is>
          <t>2024</t>
        </is>
      </c>
      <c r="C16" s="4">
        <f>'RAW_INPUTS'!$B$33</f>
        <v/>
      </c>
      <c r="D16" s="3" t="inlineStr">
        <is>
          <t>亿元</t>
        </is>
      </c>
      <c r="E16" s="3" t="inlineStr">
        <is>
          <t>成本接近收入。</t>
        </is>
      </c>
      <c r="F16" s="13" t="n"/>
    </row>
    <row r="17" ht="17.25" customHeight="1">
      <c r="A17" s="3" t="inlineStr">
        <is>
          <t>营业利润</t>
        </is>
      </c>
      <c r="B17" s="3" t="inlineStr">
        <is>
          <t>2024</t>
        </is>
      </c>
      <c r="C17" s="4">
        <f>'RAW_INPUTS'!$B$34</f>
        <v/>
      </c>
      <c r="D17" s="3" t="inlineStr">
        <is>
          <t>亿元</t>
        </is>
      </c>
      <c r="E17" s="3" t="inlineStr">
        <is>
          <t>主业盈利但空间较薄。</t>
        </is>
      </c>
      <c r="F17" s="13" t="n"/>
    </row>
    <row r="18" ht="17.25" customHeight="1">
      <c r="A18" s="3" t="inlineStr">
        <is>
          <t>净利润</t>
        </is>
      </c>
      <c r="B18" s="3" t="inlineStr">
        <is>
          <t>2024</t>
        </is>
      </c>
      <c r="C18" s="4">
        <f>'RAW_INPUTS'!$B$35</f>
        <v/>
      </c>
      <c r="D18" s="3" t="inlineStr">
        <is>
          <t>亿元</t>
        </is>
      </c>
      <c r="E18" s="3" t="inlineStr">
        <is>
          <t>利润主要受补助和资产处置影响。</t>
        </is>
      </c>
      <c r="F18" s="13" t="n"/>
    </row>
    <row r="19" ht="17.25" customHeight="1">
      <c r="A19" s="3" t="inlineStr">
        <is>
          <t>归母净利润</t>
        </is>
      </c>
      <c r="B19" s="3" t="inlineStr">
        <is>
          <t>2024</t>
        </is>
      </c>
      <c r="C19" s="4">
        <f>'RAW_INPUTS'!$B$36</f>
        <v/>
      </c>
      <c r="D19" s="3" t="inlineStr">
        <is>
          <t>亿元</t>
        </is>
      </c>
      <c r="E19" s="3" t="inlineStr">
        <is>
          <t>少数股东损益占比较高。</t>
        </is>
      </c>
      <c r="F19" s="13" t="n"/>
    </row>
    <row r="20" ht="17.25" customHeight="1">
      <c r="A20" s="13" t="n"/>
      <c r="B20" s="13" t="n"/>
      <c r="C20" s="30" t="n"/>
      <c r="D20" s="13" t="n"/>
      <c r="E20" s="13" t="n"/>
      <c r="F20" s="13" t="n"/>
    </row>
    <row r="21" ht="17.25" customHeight="1">
      <c r="A21" s="19" t="inlineStr">
        <is>
          <t>现金流量表摘要</t>
        </is>
      </c>
      <c r="B21" s="36" t="n"/>
      <c r="C21" s="36" t="n"/>
      <c r="D21" s="36" t="n"/>
      <c r="E21" s="37" t="n"/>
      <c r="F21" s="13" t="n"/>
    </row>
    <row r="22" ht="17.25" customHeight="1">
      <c r="A22" s="12" t="inlineStr">
        <is>
          <t>项目</t>
        </is>
      </c>
      <c r="B22" s="12" t="inlineStr">
        <is>
          <t>期间</t>
        </is>
      </c>
      <c r="C22" s="2" t="inlineStr">
        <is>
          <t>数值</t>
        </is>
      </c>
      <c r="D22" s="12" t="inlineStr">
        <is>
          <t>单位</t>
        </is>
      </c>
      <c r="E22" s="12" t="inlineStr">
        <is>
          <t>说明</t>
        </is>
      </c>
      <c r="F22" s="13" t="n"/>
    </row>
    <row r="23" ht="17.25" customHeight="1">
      <c r="A23" s="3" t="inlineStr">
        <is>
          <t>经营活动现金流净额</t>
        </is>
      </c>
      <c r="B23" s="3" t="inlineStr">
        <is>
          <t>2024</t>
        </is>
      </c>
      <c r="C23" s="4">
        <f>'RAW_INPUTS'!$B$37</f>
        <v/>
      </c>
      <c r="D23" s="3" t="inlineStr">
        <is>
          <t>亿元</t>
        </is>
      </c>
      <c r="E23" s="3" t="inlineStr">
        <is>
          <t>经营造血能力偏弱。</t>
        </is>
      </c>
      <c r="F23" s="13" t="n"/>
    </row>
    <row r="24" ht="17.25" customHeight="1">
      <c r="A24" s="3" t="inlineStr">
        <is>
          <t>投资活动现金流净额</t>
        </is>
      </c>
      <c r="B24" s="3" t="inlineStr">
        <is>
          <t>2024</t>
        </is>
      </c>
      <c r="C24" s="4">
        <f>'RAW_INPUTS'!$B$38</f>
        <v/>
      </c>
      <c r="D24" s="3" t="inlineStr">
        <is>
          <t>亿元</t>
        </is>
      </c>
      <c r="E24" s="3" t="inlineStr">
        <is>
          <t>继续投入项目和股权。</t>
        </is>
      </c>
      <c r="F24" s="13" t="n"/>
    </row>
    <row r="25" ht="17.25" customHeight="1">
      <c r="A25" s="3" t="inlineStr">
        <is>
          <t>筹资活动现金流净额</t>
        </is>
      </c>
      <c r="B25" s="3" t="inlineStr">
        <is>
          <t>2024</t>
        </is>
      </c>
      <c r="C25" s="4">
        <f>'RAW_INPUTS'!$B$39</f>
        <v/>
      </c>
      <c r="D25" s="3" t="inlineStr">
        <is>
          <t>亿元</t>
        </is>
      </c>
      <c r="E25" s="3" t="inlineStr">
        <is>
          <t>融资补流特征明显。</t>
        </is>
      </c>
      <c r="F25" s="13" t="n"/>
    </row>
    <row r="26" ht="17.25" customHeight="1">
      <c r="A26" s="3" t="inlineStr">
        <is>
          <t>期末现金及现金等价物</t>
        </is>
      </c>
      <c r="B26" s="3" t="inlineStr">
        <is>
          <t>2024-12-31</t>
        </is>
      </c>
      <c r="C26" s="4">
        <f>'RAW_INPUTS'!$B$40</f>
        <v/>
      </c>
      <c r="D26" s="3" t="inlineStr">
        <is>
          <t>亿元</t>
        </is>
      </c>
      <c r="E26" s="3" t="inlineStr">
        <is>
          <t>剔除受限资金后缓冲有限。</t>
        </is>
      </c>
      <c r="F26" s="13" t="n"/>
    </row>
  </sheetData>
  <mergeCells count="5">
    <mergeCell ref="A21:E21"/>
    <mergeCell ref="A1:F1"/>
    <mergeCell ref="A5:E5"/>
    <mergeCell ref="A13:E13"/>
    <mergeCell ref="A3:E3"/>
  </mergeCells>
  <pageMargins left="0.25" right="0.25" top="0.3" bottom="0.3" header="0.3" footer="0.3"/>
  <pageSetup orientation="landscape" fitToHeight="1" fitToWidth="1"/>
</worksheet>
</file>

<file path=xl/worksheets/sheet4.xml><?xml version="1.0" encoding="utf-8"?>
<worksheet xmlns="http://schemas.openxmlformats.org/spreadsheetml/2006/main">
  <sheetPr>
    <outlinePr summaryBelow="0"/>
    <pageSetUpPr fitToPage="1"/>
  </sheetPr>
  <dimension ref="A1:F30"/>
  <sheetViews>
    <sheetView workbookViewId="0">
      <pane xSplit="0" ySplit="2" topLeftCell="A3" activePane="bottomLeft" state="frozen"/>
      <selection activeCell="A1" sqref="A1"/>
    </sheetView>
  </sheetViews>
  <sheetFormatPr baseColWidth="8" defaultRowHeight="15"/>
  <cols>
    <col width="22.71928571428571" bestFit="1" customWidth="1" style="13" min="1" max="1"/>
    <col width="16.71928571428571" bestFit="1" customWidth="1" style="13" min="2" max="2"/>
    <col width="16.71928571428571" bestFit="1" customWidth="1" style="25" min="3" max="3"/>
    <col width="16.71928571428571" bestFit="1" customWidth="1" style="13" min="4" max="4"/>
    <col width="16.71928571428571" bestFit="1" customWidth="1" style="13" min="5" max="5"/>
    <col width="16.71928571428571" bestFit="1" customWidth="1" style="13" min="6" max="6"/>
  </cols>
  <sheetData>
    <row r="1" ht="17.25" customHeight="1">
      <c r="A1" s="7" t="inlineStr">
        <is>
          <t>Debt Profile</t>
        </is>
      </c>
      <c r="B1" s="34" t="n"/>
      <c r="C1" s="34" t="n"/>
      <c r="D1" s="34" t="n"/>
      <c r="E1" s="34" t="n"/>
      <c r="F1" s="35" t="n"/>
    </row>
    <row r="2" ht="17.25" customFormat="1" customHeight="1" s="9">
      <c r="A2" s="10" t="inlineStr">
        <is>
          <t>固定骨架模块 03</t>
        </is>
      </c>
      <c r="B2" s="11" t="n"/>
      <c r="C2" s="15" t="n"/>
      <c r="D2" s="11" t="n"/>
      <c r="E2" s="11" t="n"/>
      <c r="F2" s="11" t="n"/>
    </row>
    <row r="3" ht="17.25" customHeight="1">
      <c r="A3" s="13" t="n"/>
      <c r="B3" s="13" t="n"/>
      <c r="C3" s="25" t="n"/>
      <c r="D3" s="13" t="n"/>
      <c r="E3" s="13" t="n"/>
      <c r="F3" s="13" t="n"/>
    </row>
    <row r="4" ht="17.25" customHeight="1">
      <c r="A4" s="19" t="inlineStr">
        <is>
          <t>债务总览</t>
        </is>
      </c>
      <c r="B4" s="36" t="n"/>
      <c r="C4" s="36" t="n"/>
      <c r="D4" s="36" t="n"/>
      <c r="E4" s="36" t="n"/>
      <c r="F4" s="37" t="n"/>
    </row>
    <row r="5" ht="17.25" customHeight="1">
      <c r="A5" s="12" t="inlineStr">
        <is>
          <t>项目</t>
        </is>
      </c>
      <c r="B5" s="12" t="inlineStr">
        <is>
          <t>期间</t>
        </is>
      </c>
      <c r="C5" s="2" t="inlineStr">
        <is>
          <t>数值</t>
        </is>
      </c>
      <c r="D5" s="12" t="inlineStr">
        <is>
          <t>单位</t>
        </is>
      </c>
      <c r="E5" s="12" t="inlineStr">
        <is>
          <t>备注</t>
        </is>
      </c>
      <c r="F5" s="12" t="inlineStr">
        <is>
          <t>证据</t>
        </is>
      </c>
    </row>
    <row r="6" ht="17.25" customHeight="1">
      <c r="A6" s="3" t="inlineStr">
        <is>
          <t>计息负债合计</t>
        </is>
      </c>
      <c r="B6" s="3" t="inlineStr">
        <is>
          <t>2024-12-31</t>
        </is>
      </c>
      <c r="C6" s="4">
        <f>'RAW_INPUTS'!$B$41</f>
        <v/>
      </c>
      <c r="D6" s="3" t="inlineStr">
        <is>
          <t>亿元</t>
        </is>
      </c>
      <c r="E6" s="3" t="inlineStr">
        <is>
          <t>含借款、债券、租赁负债与长期应付款。</t>
        </is>
      </c>
      <c r="F6" s="21" t="inlineStr">
        <is>
          <t>EVD-0009</t>
        </is>
      </c>
    </row>
    <row r="7" ht="17.25" customHeight="1">
      <c r="A7" s="3" t="inlineStr">
        <is>
          <t>短期借款</t>
        </is>
      </c>
      <c r="B7" s="3" t="inlineStr">
        <is>
          <t>2024-12-31</t>
        </is>
      </c>
      <c r="C7" s="4">
        <f>'RAW_INPUTS'!$B$42</f>
        <v/>
      </c>
      <c r="D7" s="3" t="inlineStr">
        <is>
          <t>亿元</t>
        </is>
      </c>
      <c r="E7" s="3" t="inlineStr">
        <is>
          <t>保证借款占主导。</t>
        </is>
      </c>
      <c r="F7" s="21" t="inlineStr">
        <is>
          <t>EVD-0009</t>
        </is>
      </c>
    </row>
    <row r="8" ht="17.25" customHeight="1">
      <c r="A8" s="3" t="inlineStr">
        <is>
          <t>一年内到期非流动负债</t>
        </is>
      </c>
      <c r="B8" s="3" t="inlineStr">
        <is>
          <t>2024-12-31</t>
        </is>
      </c>
      <c r="C8" s="4">
        <f>'RAW_INPUTS'!$B$43</f>
        <v/>
      </c>
      <c r="D8" s="3" t="inlineStr">
        <is>
          <t>亿元</t>
        </is>
      </c>
      <c r="E8" s="3" t="inlineStr">
        <is>
          <t>短期化压力较明显。</t>
        </is>
      </c>
      <c r="F8" s="21" t="inlineStr">
        <is>
          <t>EVD-0009</t>
        </is>
      </c>
    </row>
    <row r="9" ht="17.25" customHeight="1">
      <c r="A9" s="3" t="inlineStr">
        <is>
          <t>应付债券</t>
        </is>
      </c>
      <c r="B9" s="3" t="inlineStr">
        <is>
          <t>2024-12-31</t>
        </is>
      </c>
      <c r="C9" s="4">
        <f>'RAW_INPUTS'!$B$44</f>
        <v/>
      </c>
      <c r="D9" s="3" t="inlineStr">
        <is>
          <t>亿元</t>
        </is>
      </c>
      <c r="E9" s="3" t="inlineStr">
        <is>
          <t>境内外债券并行。</t>
        </is>
      </c>
      <c r="F9" s="21" t="inlineStr">
        <is>
          <t>EVD-0009</t>
        </is>
      </c>
    </row>
    <row r="10" ht="17.25" customHeight="1">
      <c r="A10" s="13" t="n"/>
      <c r="B10" s="13" t="n"/>
      <c r="C10" s="25" t="n"/>
      <c r="D10" s="13" t="n"/>
      <c r="E10" s="13" t="n"/>
      <c r="F10" s="13" t="n"/>
    </row>
    <row r="11" ht="17.25" customHeight="1">
      <c r="A11" s="19" t="inlineStr">
        <is>
          <t>期限结构</t>
        </is>
      </c>
      <c r="B11" s="36" t="n"/>
      <c r="C11" s="36" t="n"/>
      <c r="D11" s="36" t="n"/>
      <c r="E11" s="36" t="n"/>
      <c r="F11" s="37" t="n"/>
    </row>
    <row r="12" ht="17.25" customHeight="1">
      <c r="A12" s="12" t="inlineStr">
        <is>
          <t>项目</t>
        </is>
      </c>
      <c r="B12" s="12" t="inlineStr">
        <is>
          <t>期间</t>
        </is>
      </c>
      <c r="C12" s="2" t="inlineStr">
        <is>
          <t>数值</t>
        </is>
      </c>
      <c r="D12" s="12" t="inlineStr">
        <is>
          <t>单位</t>
        </is>
      </c>
      <c r="E12" s="12" t="inlineStr">
        <is>
          <t>备注</t>
        </is>
      </c>
      <c r="F12" s="12" t="inlineStr">
        <is>
          <t>证据</t>
        </is>
      </c>
    </row>
    <row r="13" ht="17.25" customHeight="1">
      <c r="A13" s="3" t="inlineStr">
        <is>
          <t>1年内</t>
        </is>
      </c>
      <c r="B13" s="3" t="inlineStr">
        <is>
          <t>2024-12-31</t>
        </is>
      </c>
      <c r="C13" s="4">
        <f>'RAW_INPUTS'!$B$45</f>
        <v/>
      </c>
      <c r="D13" s="3" t="inlineStr">
        <is>
          <t>元</t>
        </is>
      </c>
      <c r="E13" s="3" t="inlineStr">
        <is>
          <t>到期压力较高。</t>
        </is>
      </c>
      <c r="F13" s="21" t="inlineStr">
        <is>
          <t>EVD-0009</t>
        </is>
      </c>
    </row>
    <row r="14" ht="17.25" customHeight="1">
      <c r="A14" s="3" t="inlineStr">
        <is>
          <t>1-3年</t>
        </is>
      </c>
      <c r="B14" s="3" t="inlineStr">
        <is>
          <t>2024-12-31</t>
        </is>
      </c>
      <c r="C14" s="4">
        <f>'RAW_INPUTS'!$B$46</f>
        <v/>
      </c>
      <c r="D14" s="3" t="inlineStr">
        <is>
          <t>元</t>
        </is>
      </c>
      <c r="E14" s="3" t="inlineStr">
        <is>
          <t>按现有披露口径难以直接拆分。</t>
        </is>
      </c>
      <c r="F14" s="21" t="inlineStr">
        <is>
          <t>EVD-0009</t>
        </is>
      </c>
    </row>
    <row r="15" ht="17.25" customHeight="1">
      <c r="A15" s="3" t="inlineStr">
        <is>
          <t>3年以上</t>
        </is>
      </c>
      <c r="B15" s="3" t="inlineStr">
        <is>
          <t>2024-12-31</t>
        </is>
      </c>
      <c r="C15" s="4">
        <f>'RAW_INPUTS'!$B$47</f>
        <v/>
      </c>
      <c r="D15" s="3" t="inlineStr">
        <is>
          <t>元</t>
        </is>
      </c>
      <c r="E15" s="3" t="inlineStr">
        <is>
          <t>由债券与借款滚动形成。</t>
        </is>
      </c>
      <c r="F15" s="21" t="inlineStr">
        <is>
          <t>EVD-0009</t>
        </is>
      </c>
    </row>
    <row r="16" ht="17.25" customHeight="1">
      <c r="A16" s="13" t="n"/>
      <c r="B16" s="13" t="n"/>
      <c r="C16" s="25" t="n"/>
      <c r="D16" s="13" t="n"/>
      <c r="E16" s="13" t="n"/>
      <c r="F16" s="13" t="n"/>
    </row>
    <row r="17" ht="17.25" customHeight="1">
      <c r="A17" s="19" t="inlineStr">
        <is>
          <t>融资结构</t>
        </is>
      </c>
      <c r="B17" s="36" t="n"/>
      <c r="C17" s="36" t="n"/>
      <c r="D17" s="36" t="n"/>
      <c r="E17" s="36" t="n"/>
      <c r="F17" s="37" t="n"/>
    </row>
    <row r="18" ht="17.25" customHeight="1">
      <c r="A18" s="12" t="inlineStr">
        <is>
          <t>项目</t>
        </is>
      </c>
      <c r="B18" s="12" t="inlineStr">
        <is>
          <t>期间</t>
        </is>
      </c>
      <c r="C18" s="2" t="inlineStr">
        <is>
          <t>数值</t>
        </is>
      </c>
      <c r="D18" s="12" t="inlineStr">
        <is>
          <t>单位</t>
        </is>
      </c>
      <c r="E18" s="12" t="inlineStr">
        <is>
          <t>备注</t>
        </is>
      </c>
      <c r="F18" s="12" t="inlineStr">
        <is>
          <t>证据</t>
        </is>
      </c>
    </row>
    <row r="19" ht="17.25" customHeight="1">
      <c r="A19" s="3" t="inlineStr">
        <is>
          <t>银行及担保借款</t>
        </is>
      </c>
      <c r="B19" s="3" t="inlineStr">
        <is>
          <t>2024</t>
        </is>
      </c>
      <c r="C19" s="4">
        <f>'RAW_INPUTS'!$B$48</f>
        <v/>
      </c>
      <c r="D19" s="3" t="n"/>
      <c r="E19" s="3" t="inlineStr">
        <is>
          <t>仍是融资主轴。</t>
        </is>
      </c>
      <c r="F19" s="21" t="inlineStr">
        <is>
          <t>EVD-0009</t>
        </is>
      </c>
    </row>
    <row r="20" ht="17.25" customHeight="1">
      <c r="A20" s="3" t="inlineStr">
        <is>
          <t>债券融资</t>
        </is>
      </c>
      <c r="B20" s="3" t="inlineStr">
        <is>
          <t>2024</t>
        </is>
      </c>
      <c r="C20" s="4">
        <f>'RAW_INPUTS'!$B$49</f>
        <v/>
      </c>
      <c r="D20" s="3" t="n"/>
      <c r="E20" s="3" t="inlineStr">
        <is>
          <t>资本市场融资占比高。</t>
        </is>
      </c>
      <c r="F20" s="21" t="inlineStr">
        <is>
          <t>EVD-0009</t>
        </is>
      </c>
    </row>
    <row r="21" ht="17.25" customHeight="1">
      <c r="A21" s="3" t="inlineStr">
        <is>
          <t>其他融资</t>
        </is>
      </c>
      <c r="B21" s="3" t="inlineStr">
        <is>
          <t>2024</t>
        </is>
      </c>
      <c r="C21" s="4">
        <f>'RAW_INPUTS'!$B$50</f>
        <v/>
      </c>
      <c r="D21" s="3" t="n"/>
      <c r="E21" s="3" t="inlineStr">
        <is>
          <t>包含租赁和长期应付款。</t>
        </is>
      </c>
      <c r="F21" s="21" t="inlineStr">
        <is>
          <t>EVD-0009</t>
        </is>
      </c>
    </row>
    <row r="22" ht="17.25" customHeight="1">
      <c r="A22" s="13" t="n"/>
      <c r="B22" s="13" t="n"/>
      <c r="C22" s="25" t="n"/>
      <c r="D22" s="13" t="n"/>
      <c r="E22" s="13" t="n"/>
      <c r="F22" s="13" t="n"/>
    </row>
    <row r="23" ht="17.25" customHeight="1">
      <c r="A23" s="19" t="inlineStr">
        <is>
          <t>利率结构</t>
        </is>
      </c>
      <c r="B23" s="36" t="n"/>
      <c r="C23" s="36" t="n"/>
      <c r="D23" s="36" t="n"/>
      <c r="E23" s="36" t="n"/>
      <c r="F23" s="37" t="n"/>
    </row>
    <row r="24" ht="17.25" customHeight="1">
      <c r="A24" s="12" t="inlineStr">
        <is>
          <t>项目</t>
        </is>
      </c>
      <c r="B24" s="12" t="inlineStr">
        <is>
          <t>期间</t>
        </is>
      </c>
      <c r="C24" s="2" t="inlineStr">
        <is>
          <t>数值</t>
        </is>
      </c>
      <c r="D24" s="12" t="inlineStr">
        <is>
          <t>单位</t>
        </is>
      </c>
      <c r="E24" s="12" t="inlineStr">
        <is>
          <t>说明</t>
        </is>
      </c>
      <c r="F24" s="13" t="n"/>
    </row>
    <row r="25" ht="17.25" customHeight="1">
      <c r="A25" s="3" t="inlineStr">
        <is>
          <t>利息支出</t>
        </is>
      </c>
      <c r="B25" s="3" t="inlineStr">
        <is>
          <t>2024</t>
        </is>
      </c>
      <c r="C25" s="4">
        <f>'RAW_INPUTS'!$B$51</f>
        <v/>
      </c>
      <c r="D25" s="3" t="inlineStr">
        <is>
          <t>亿元</t>
        </is>
      </c>
      <c r="E25" s="3" t="inlineStr">
        <is>
          <t>财务费用压力较大。</t>
        </is>
      </c>
      <c r="F25" s="13" t="n"/>
    </row>
    <row r="26" ht="17.25" customHeight="1">
      <c r="A26" s="3" t="inlineStr">
        <is>
          <t>债务平均利率</t>
        </is>
      </c>
      <c r="B26" s="3" t="inlineStr">
        <is>
          <t>2024</t>
        </is>
      </c>
      <c r="C26" s="4">
        <f>IFERROR('RAW_INPUTS'!$B$51/(('RAW_INPUTS'!$B$2+'RAW_INPUTS'!$B$3)/2)*100,"")</f>
        <v/>
      </c>
      <c r="D26" s="3" t="n"/>
      <c r="E26" s="3" t="inlineStr">
        <is>
          <t>按期初期末平均有息负债与利息支出测算。</t>
        </is>
      </c>
      <c r="F26" s="13" t="n"/>
    </row>
    <row r="27" ht="17.25" customHeight="1">
      <c r="A27" s="19" t="inlineStr">
        <is>
          <t>债务评论</t>
        </is>
      </c>
      <c r="B27" s="36" t="n"/>
      <c r="C27" s="36" t="n"/>
      <c r="D27" s="36" t="n"/>
      <c r="E27" s="36" t="n"/>
      <c r="F27" s="37" t="n"/>
    </row>
    <row r="28" ht="17.25" customHeight="1">
      <c r="A28" s="12" t="inlineStr">
        <is>
          <t>标签</t>
        </is>
      </c>
      <c r="B28" s="12" t="inlineStr">
        <is>
          <t>详情</t>
        </is>
      </c>
      <c r="C28" s="2" t="inlineStr">
        <is>
          <t>来源</t>
        </is>
      </c>
      <c r="D28" s="12" t="inlineStr">
        <is>
          <t>证据</t>
        </is>
      </c>
      <c r="E28" s="12" t="n"/>
      <c r="F28" s="12" t="n"/>
    </row>
    <row r="29" ht="17.25" customFormat="1" customHeight="1" s="9">
      <c r="A29" s="3" t="inlineStr">
        <is>
          <t>负债扩张</t>
        </is>
      </c>
      <c r="B29" s="3" t="inlineStr">
        <is>
          <t>报告期内短期借款、长期借款和债券余额均保持高位，融资结构对再融资窗口依赖明显。</t>
        </is>
      </c>
      <c r="C29" s="36" t="n"/>
      <c r="D29" s="37" t="n"/>
      <c r="E29" s="3" t="inlineStr">
        <is>
          <t>年报附注与三大表一致</t>
        </is>
      </c>
      <c r="F29" s="21" t="inlineStr">
        <is>
          <t>EVD-0009</t>
        </is>
      </c>
    </row>
    <row r="30" ht="17.25" customFormat="1" customHeight="1" s="9">
      <c r="A30" s="3" t="inlineStr">
        <is>
          <t>期限错配</t>
        </is>
      </c>
      <c r="B30" s="3" t="inlineStr">
        <is>
          <t>一年内到期负债规模较大，而经营现金流为负，期限错配风险仍是核心关注点。</t>
        </is>
      </c>
      <c r="C30" s="36" t="n"/>
      <c r="D30" s="37" t="n"/>
      <c r="E30" s="3" t="inlineStr">
        <is>
          <t>年报附注与现金流量表一致</t>
        </is>
      </c>
      <c r="F30" s="21" t="inlineStr">
        <is>
          <t>EVD-0009</t>
        </is>
      </c>
    </row>
  </sheetData>
  <mergeCells count="8">
    <mergeCell ref="A11:F11"/>
    <mergeCell ref="A1:F1"/>
    <mergeCell ref="A23:F23"/>
    <mergeCell ref="A27:F27"/>
    <mergeCell ref="A17:F17"/>
    <mergeCell ref="B30:D30"/>
    <mergeCell ref="A4:F4"/>
    <mergeCell ref="B29:D29"/>
  </mergeCells>
  <pageMargins left="0.25" right="0.25" top="0.3" bottom="0.3" header="0.3" footer="0.3"/>
  <pageSetup orientation="landscape" fitToHeight="1" fitToWidth="1"/>
</worksheet>
</file>

<file path=xl/worksheets/sheet5.xml><?xml version="1.0" encoding="utf-8"?>
<worksheet xmlns="http://schemas.openxmlformats.org/spreadsheetml/2006/main">
  <sheetPr>
    <outlinePr summaryBelow="0"/>
    <pageSetUpPr fitToPage="1"/>
  </sheetPr>
  <dimension ref="A1:F26"/>
  <sheetViews>
    <sheetView workbookViewId="0">
      <pane xSplit="0" ySplit="2" topLeftCell="A3" activePane="bottomLeft" state="frozen"/>
      <selection activeCell="A1" sqref="A1"/>
    </sheetView>
  </sheetViews>
  <sheetFormatPr baseColWidth="8" defaultRowHeight="15"/>
  <cols>
    <col width="22.71928571428571" bestFit="1" customWidth="1" style="13" min="1" max="1"/>
    <col width="16.71928571428571" bestFit="1" customWidth="1" style="13" min="2" max="2"/>
    <col width="16.71928571428571" bestFit="1" customWidth="1" style="13" min="3" max="3"/>
    <col width="16.71928571428571" bestFit="1" customWidth="1" style="13" min="4" max="4"/>
    <col width="16.71928571428571" bestFit="1" customWidth="1" style="13" min="5" max="5"/>
    <col width="16.71928571428571" bestFit="1" customWidth="1" style="13" min="6" max="6"/>
  </cols>
  <sheetData>
    <row r="1" ht="17.25" customHeight="1">
      <c r="A1" s="7" t="inlineStr">
        <is>
          <t>Liquidity And Covenants</t>
        </is>
      </c>
      <c r="B1" s="34" t="n"/>
      <c r="C1" s="34" t="n"/>
      <c r="D1" s="34" t="n"/>
      <c r="E1" s="34" t="n"/>
      <c r="F1" s="35" t="n"/>
    </row>
    <row r="2" ht="17.25" customFormat="1" customHeight="1" s="9">
      <c r="A2" s="10" t="inlineStr">
        <is>
          <t>固定骨架模块 04</t>
        </is>
      </c>
      <c r="B2" s="11" t="n"/>
      <c r="C2" s="11" t="n"/>
      <c r="D2" s="11" t="n"/>
      <c r="E2" s="11" t="n"/>
      <c r="F2" s="11" t="n"/>
    </row>
    <row r="3" ht="17.25" customHeight="1">
      <c r="A3" s="13" t="n"/>
      <c r="B3" s="13" t="n"/>
      <c r="C3" s="13" t="n"/>
      <c r="D3" s="13" t="n"/>
      <c r="E3" s="13" t="n"/>
      <c r="F3" s="13" t="n"/>
    </row>
    <row r="4" ht="17.25" customHeight="1">
      <c r="A4" s="19" t="inlineStr">
        <is>
          <t>现金指标</t>
        </is>
      </c>
      <c r="B4" s="36" t="n"/>
      <c r="C4" s="36" t="n"/>
      <c r="D4" s="36" t="n"/>
      <c r="E4" s="36" t="n"/>
      <c r="F4" s="37" t="n"/>
    </row>
    <row r="5" ht="17.25" customHeight="1">
      <c r="A5" s="12" t="inlineStr">
        <is>
          <t>项目</t>
        </is>
      </c>
      <c r="B5" s="12" t="inlineStr">
        <is>
          <t>期间</t>
        </is>
      </c>
      <c r="C5" s="12" t="inlineStr">
        <is>
          <t>数值</t>
        </is>
      </c>
      <c r="D5" s="12" t="inlineStr">
        <is>
          <t>单位</t>
        </is>
      </c>
      <c r="E5" s="12" t="inlineStr">
        <is>
          <t>备注</t>
        </is>
      </c>
      <c r="F5" s="12" t="inlineStr">
        <is>
          <t>证据</t>
        </is>
      </c>
    </row>
    <row r="6" ht="17.25" customFormat="1" customHeight="1" s="9">
      <c r="A6" s="3" t="inlineStr">
        <is>
          <t>现金及现金等价物</t>
        </is>
      </c>
      <c r="B6" s="3" t="n"/>
      <c r="C6" s="3" t="inlineStr">
        <is>
          <t>-</t>
        </is>
      </c>
      <c r="D6" s="3" t="n"/>
      <c r="E6" s="3" t="n"/>
      <c r="F6" s="21" t="inlineStr">
        <is>
          <t>EVD-0009</t>
        </is>
      </c>
    </row>
    <row r="7" ht="17.25" customFormat="1" customHeight="1" s="9">
      <c r="A7" s="3" t="inlineStr">
        <is>
          <t>受限资金</t>
        </is>
      </c>
      <c r="B7" s="3" t="n"/>
      <c r="C7" s="3" t="inlineStr">
        <is>
          <t>-</t>
        </is>
      </c>
      <c r="D7" s="3" t="n"/>
      <c r="E7" s="3" t="n"/>
      <c r="F7" s="21" t="inlineStr">
        <is>
          <t>EVD-0009</t>
        </is>
      </c>
    </row>
    <row r="8" ht="17.25" customFormat="1" customHeight="1" s="9">
      <c r="A8" s="3" t="inlineStr">
        <is>
          <t>现金短债比</t>
        </is>
      </c>
      <c r="B8" s="3" t="n"/>
      <c r="C8" s="3" t="inlineStr">
        <is>
          <t>-</t>
        </is>
      </c>
      <c r="D8" s="3" t="n"/>
      <c r="E8" s="3" t="n"/>
      <c r="F8" s="21" t="inlineStr">
        <is>
          <t>EVD-0009</t>
        </is>
      </c>
    </row>
    <row r="9" ht="17.25" customFormat="1" customHeight="1" s="9">
      <c r="A9" s="3" t="inlineStr">
        <is>
          <t>经营现金流</t>
        </is>
      </c>
      <c r="B9" s="3" t="n"/>
      <c r="C9" s="3" t="inlineStr">
        <is>
          <t>-</t>
        </is>
      </c>
      <c r="D9" s="3" t="n"/>
      <c r="E9" s="3" t="n"/>
      <c r="F9" s="21" t="inlineStr">
        <is>
          <t>EVD-0009</t>
        </is>
      </c>
    </row>
    <row r="10" ht="17.25" customHeight="1">
      <c r="A10" s="13" t="n"/>
      <c r="B10" s="13" t="n"/>
      <c r="C10" s="13" t="n"/>
      <c r="D10" s="13" t="n"/>
      <c r="E10" s="13" t="n"/>
      <c r="F10" s="13" t="n"/>
    </row>
    <row r="11" ht="17.25" customHeight="1">
      <c r="A11" s="19" t="inlineStr">
        <is>
          <t>授信与债务窗口</t>
        </is>
      </c>
      <c r="B11" s="36" t="n"/>
      <c r="C11" s="36" t="n"/>
      <c r="D11" s="36" t="n"/>
      <c r="E11" s="36" t="n"/>
      <c r="F11" s="37" t="n"/>
    </row>
    <row r="12" ht="17.25" customHeight="1">
      <c r="A12" s="12" t="inlineStr">
        <is>
          <t>项目</t>
        </is>
      </c>
      <c r="B12" s="12" t="inlineStr">
        <is>
          <t>期间</t>
        </is>
      </c>
      <c r="C12" s="12" t="inlineStr">
        <is>
          <t>数值</t>
        </is>
      </c>
      <c r="D12" s="12" t="inlineStr">
        <is>
          <t>单位</t>
        </is>
      </c>
      <c r="E12" s="12" t="inlineStr">
        <is>
          <t>备注</t>
        </is>
      </c>
      <c r="F12" s="12" t="inlineStr">
        <is>
          <t>证据</t>
        </is>
      </c>
    </row>
    <row r="13" ht="17.25" customFormat="1" customHeight="1" s="9">
      <c r="A13" s="3" t="inlineStr">
        <is>
          <t>公开授信披露</t>
        </is>
      </c>
      <c r="B13" s="3" t="n"/>
      <c r="C13" s="3" t="inlineStr">
        <is>
          <t>-</t>
        </is>
      </c>
      <c r="D13" s="3" t="n"/>
      <c r="E13" s="3" t="n"/>
      <c r="F13" s="21" t="inlineStr">
        <is>
          <t>EVD-0009</t>
        </is>
      </c>
    </row>
    <row r="14" ht="17.25" customHeight="1">
      <c r="A14" s="13" t="n"/>
      <c r="B14" s="13" t="n"/>
      <c r="C14" s="13" t="n"/>
      <c r="D14" s="13" t="n"/>
      <c r="E14" s="13" t="n"/>
      <c r="F14" s="13" t="n"/>
    </row>
    <row r="15" ht="17.25" customHeight="1">
      <c r="A15" s="19" t="inlineStr">
        <is>
          <t>受限资产</t>
        </is>
      </c>
      <c r="B15" s="36" t="n"/>
      <c r="C15" s="36" t="n"/>
      <c r="D15" s="36" t="n"/>
      <c r="E15" s="36" t="n"/>
      <c r="F15" s="37" t="n"/>
    </row>
    <row r="16" ht="17.25" customHeight="1">
      <c r="A16" s="12" t="inlineStr">
        <is>
          <t>项目</t>
        </is>
      </c>
      <c r="B16" s="12" t="inlineStr">
        <is>
          <t>期间</t>
        </is>
      </c>
      <c r="C16" s="12" t="inlineStr">
        <is>
          <t>数值</t>
        </is>
      </c>
      <c r="D16" s="12" t="inlineStr">
        <is>
          <t>单位</t>
        </is>
      </c>
      <c r="E16" s="12" t="inlineStr">
        <is>
          <t>备注</t>
        </is>
      </c>
      <c r="F16" s="12" t="inlineStr">
        <is>
          <t>证据</t>
        </is>
      </c>
    </row>
    <row r="17" ht="17.25" customFormat="1" customHeight="1" s="9">
      <c r="A17" s="3" t="inlineStr">
        <is>
          <t>受限资产总额</t>
        </is>
      </c>
      <c r="B17" s="3" t="n"/>
      <c r="C17" s="3" t="inlineStr">
        <is>
          <t>-</t>
        </is>
      </c>
      <c r="D17" s="3" t="n"/>
      <c r="E17" s="3" t="n"/>
      <c r="F17" s="21" t="inlineStr">
        <is>
          <t>EVD-0009</t>
        </is>
      </c>
    </row>
    <row r="18" ht="17.25" customFormat="1" customHeight="1" s="9">
      <c r="A18" s="3" t="inlineStr">
        <is>
          <t>受限货币资金</t>
        </is>
      </c>
      <c r="B18" s="3" t="n"/>
      <c r="C18" s="3" t="inlineStr">
        <is>
          <t>-</t>
        </is>
      </c>
      <c r="D18" s="3" t="n"/>
      <c r="E18" s="3" t="n"/>
      <c r="F18" s="21" t="inlineStr">
        <is>
          <t>EVD-0009</t>
        </is>
      </c>
    </row>
    <row r="19" ht="17.25" customHeight="1">
      <c r="A19" s="13" t="n"/>
      <c r="B19" s="13" t="n"/>
      <c r="C19" s="13" t="n"/>
      <c r="D19" s="13" t="n"/>
      <c r="E19" s="13" t="n"/>
      <c r="F19" s="13" t="n"/>
    </row>
    <row r="20" ht="17.25" customHeight="1">
      <c r="A20" s="19" t="inlineStr">
        <is>
          <t>财务契约</t>
        </is>
      </c>
      <c r="B20" s="36" t="n"/>
      <c r="C20" s="36" t="n"/>
      <c r="D20" s="36" t="n"/>
      <c r="E20" s="36" t="n"/>
      <c r="F20" s="37" t="n"/>
    </row>
    <row r="21" ht="17.25" customHeight="1">
      <c r="A21" s="12" t="inlineStr">
        <is>
          <t>条目</t>
        </is>
      </c>
      <c r="B21" s="12" t="inlineStr">
        <is>
          <t>状态</t>
        </is>
      </c>
      <c r="C21" s="12" t="inlineStr">
        <is>
          <t>受限债务</t>
        </is>
      </c>
      <c r="D21" s="12" t="inlineStr">
        <is>
          <t>单位</t>
        </is>
      </c>
      <c r="E21" s="12" t="inlineStr">
        <is>
          <t>来源</t>
        </is>
      </c>
      <c r="F21" s="12" t="inlineStr">
        <is>
          <t>证据</t>
        </is>
      </c>
    </row>
    <row r="22" ht="17.25" customHeight="1">
      <c r="A22" s="3" t="inlineStr">
        <is>
          <t>财务契约披露</t>
        </is>
      </c>
      <c r="B22" s="26" t="inlineStr">
        <is>
          <t>unknown</t>
        </is>
      </c>
      <c r="C22" s="3" t="inlineStr">
        <is>
          <t>-</t>
        </is>
      </c>
      <c r="D22" s="3" t="n"/>
      <c r="E22" s="3" t="inlineStr">
        <is>
          <t>未单列披露</t>
        </is>
      </c>
      <c r="F22" s="21" t="inlineStr">
        <is>
          <t>EVD-0009</t>
        </is>
      </c>
    </row>
    <row r="23" ht="17.25" customHeight="1">
      <c r="A23" s="13" t="n"/>
      <c r="B23" s="13" t="n"/>
      <c r="C23" s="13" t="n"/>
      <c r="D23" s="13" t="n"/>
      <c r="E23" s="13" t="n"/>
      <c r="F23" s="13" t="n"/>
    </row>
    <row r="24" ht="17.25" customHeight="1">
      <c r="A24" s="19" t="inlineStr">
        <is>
          <t>流动性观察</t>
        </is>
      </c>
      <c r="B24" s="36" t="n"/>
      <c r="C24" s="36" t="n"/>
      <c r="D24" s="36" t="n"/>
      <c r="E24" s="36" t="n"/>
      <c r="F24" s="37" t="n"/>
    </row>
    <row r="25" ht="17.25" customHeight="1">
      <c r="A25" s="27" t="inlineStr">
        <is>
          <t>经营性资金占用</t>
        </is>
      </c>
      <c r="B25" s="3" t="inlineStr">
        <is>
          <t>应收、预付和其他应收合计规模大，叠加存货 610.31 亿元，导致经营性占资持续高位。</t>
        </is>
      </c>
      <c r="C25" s="36" t="n"/>
      <c r="D25" s="36" t="n"/>
      <c r="E25" s="37" t="n"/>
      <c r="F25" s="21" t="inlineStr">
        <is>
          <t>EVD-0010</t>
        </is>
      </c>
    </row>
    <row r="26" ht="17.25" customHeight="1">
      <c r="A26" s="27" t="inlineStr">
        <is>
          <t>回款与补流</t>
        </is>
      </c>
      <c r="B26" s="3" t="inlineStr">
        <is>
          <t>经营现金流持续为负，筹资现金流为正，说明当前仍需要外部融资维持项目推进。</t>
        </is>
      </c>
      <c r="C26" s="36" t="n"/>
      <c r="D26" s="36" t="n"/>
      <c r="E26" s="37" t="n"/>
      <c r="F26" s="21" t="inlineStr">
        <is>
          <t>EVD-0009</t>
        </is>
      </c>
    </row>
  </sheetData>
  <mergeCells count="8">
    <mergeCell ref="A24:F24"/>
    <mergeCell ref="B26:E26"/>
    <mergeCell ref="A11:F11"/>
    <mergeCell ref="A1:F1"/>
    <mergeCell ref="B25:E25"/>
    <mergeCell ref="A4:F4"/>
    <mergeCell ref="A20:F20"/>
    <mergeCell ref="A15:F15"/>
  </mergeCells>
  <pageMargins left="0.25" right="0.25" top="0.3" bottom="0.3" header="0.3" footer="0.3"/>
  <pageSetup orientation="landscape" fitToHeight="1" fitToWidth="1"/>
</worksheet>
</file>

<file path=xl/worksheets/sheet6.xml><?xml version="1.0" encoding="utf-8"?>
<worksheet xmlns="http://schemas.openxmlformats.org/spreadsheetml/2006/main">
  <sheetPr>
    <outlinePr summaryBelow="0"/>
    <pageSetUpPr fitToPage="1"/>
  </sheetPr>
  <dimension ref="A1:F21"/>
  <sheetViews>
    <sheetView tabSelected="1" workbookViewId="0">
      <pane xSplit="0" ySplit="2" topLeftCell="A3" activePane="bottomLeft" state="frozen"/>
      <selection activeCell="A1" sqref="A1"/>
    </sheetView>
  </sheetViews>
  <sheetFormatPr baseColWidth="8" defaultRowHeight="15"/>
  <cols>
    <col width="20.71928571428571" bestFit="1" customWidth="1" style="13" min="1" max="1"/>
    <col width="18.71928571428571" bestFit="1" customWidth="1" style="25" min="2" max="2"/>
    <col width="18.71928571428571" bestFit="1" customWidth="1" style="13" min="3" max="3"/>
    <col width="18.71928571428571" bestFit="1" customWidth="1" style="13" min="4" max="4"/>
    <col width="18.71928571428571" bestFit="1" customWidth="1" style="13" min="5" max="5"/>
    <col width="12.43357142857143" bestFit="1" customWidth="1" style="13" min="6" max="6"/>
  </cols>
  <sheetData>
    <row r="1" ht="17.25" customHeight="1">
      <c r="A1" s="7" t="inlineStr">
        <is>
          <t>融资成本计算</t>
        </is>
      </c>
      <c r="B1" s="34" t="n"/>
      <c r="C1" s="34" t="n"/>
      <c r="D1" s="34" t="n"/>
      <c r="E1" s="34" t="n"/>
      <c r="F1" s="35" t="n"/>
    </row>
    <row r="2" ht="17.25" customFormat="1" customHeight="1" s="9">
      <c r="A2" s="10" t="inlineStr">
        <is>
          <t>专题模块</t>
        </is>
      </c>
      <c r="B2" s="15" t="n"/>
      <c r="C2" s="11" t="n"/>
      <c r="D2" s="11" t="n"/>
      <c r="E2" s="11" t="n"/>
      <c r="F2" s="11" t="n"/>
    </row>
    <row r="3" ht="17.25" customHeight="1">
      <c r="A3" s="13" t="n"/>
      <c r="B3" s="25" t="n"/>
      <c r="C3" s="13" t="n"/>
      <c r="D3" s="13" t="n"/>
      <c r="E3" s="13" t="n"/>
      <c r="F3" s="13" t="n"/>
    </row>
    <row r="4" ht="17.25" customFormat="1" customHeight="1" s="9">
      <c r="A4" s="17" t="inlineStr">
        <is>
          <t>2024 年财务费用 3.09 亿元，利息支出 3.12 亿元、利息收入 0.13 亿元，净利息负担约 3.00 亿元；财务费用率约 24.72%，融资成本对利润侵蚀明显。</t>
        </is>
      </c>
      <c r="B4" s="40" t="n"/>
      <c r="C4" s="40" t="n"/>
      <c r="D4" s="40" t="n"/>
      <c r="E4" s="41" t="n"/>
      <c r="F4" s="11" t="n"/>
    </row>
    <row r="5" ht="17.25" customFormat="1" customHeight="1" s="9">
      <c r="A5" s="42" t="n"/>
      <c r="B5" s="43" t="n"/>
      <c r="C5" s="43" t="n"/>
      <c r="D5" s="43" t="n"/>
      <c r="E5" s="44" t="n"/>
      <c r="F5" s="11" t="n"/>
    </row>
    <row r="6" ht="17.25" customHeight="1">
      <c r="A6" s="13" t="n"/>
      <c r="B6" s="25" t="n"/>
      <c r="C6" s="13" t="n"/>
      <c r="D6" s="13" t="n"/>
      <c r="E6" s="13" t="n"/>
      <c r="F6" s="13" t="n"/>
    </row>
    <row r="7" ht="17.25" customHeight="1">
      <c r="A7" s="19" t="inlineStr">
        <is>
          <t>融资成本口径</t>
        </is>
      </c>
      <c r="B7" s="36" t="n"/>
      <c r="C7" s="36" t="n"/>
      <c r="D7" s="36" t="n"/>
      <c r="E7" s="37" t="n"/>
      <c r="F7" s="13" t="n"/>
    </row>
    <row r="8" ht="17.25" customHeight="1">
      <c r="A8" s="12" t="inlineStr">
        <is>
          <t>指标</t>
        </is>
      </c>
      <c r="B8" s="2" t="inlineStr">
        <is>
          <t>数值</t>
        </is>
      </c>
      <c r="C8" s="12" t="inlineStr">
        <is>
          <t>单位</t>
        </is>
      </c>
      <c r="D8" s="12" t="inlineStr">
        <is>
          <t>来源</t>
        </is>
      </c>
      <c r="E8" s="12" t="inlineStr">
        <is>
          <t>证据</t>
        </is>
      </c>
      <c r="F8" s="13" t="n"/>
    </row>
    <row r="9" ht="17.25" customHeight="1">
      <c r="A9" s="3" t="inlineStr">
        <is>
          <t>财务费用</t>
        </is>
      </c>
      <c r="B9" s="4">
        <f>'RAW_INPUTS'!$B$53</f>
        <v/>
      </c>
      <c r="C9" s="3" t="inlineStr">
        <is>
          <t>亿元</t>
        </is>
      </c>
      <c r="D9" s="3" t="inlineStr">
        <is>
          <t>财务费用注释</t>
        </is>
      </c>
      <c r="E9" s="21" t="inlineStr">
        <is>
          <t>EVD-0009</t>
        </is>
      </c>
      <c r="F9" s="13" t="n"/>
    </row>
    <row r="10" ht="17.25" customHeight="1">
      <c r="A10" s="3" t="inlineStr">
        <is>
          <t>利息支出</t>
        </is>
      </c>
      <c r="B10" s="4">
        <f>'RAW_INPUTS'!$B$54</f>
        <v/>
      </c>
      <c r="C10" s="3" t="inlineStr">
        <is>
          <t>亿元</t>
        </is>
      </c>
      <c r="D10" s="3" t="inlineStr">
        <is>
          <t>财务费用注释</t>
        </is>
      </c>
      <c r="E10" s="21" t="inlineStr">
        <is>
          <t>EVD-0009</t>
        </is>
      </c>
      <c r="F10" s="13" t="n"/>
    </row>
    <row r="11" ht="17.25" customHeight="1">
      <c r="A11" s="3" t="inlineStr">
        <is>
          <t>利息收入</t>
        </is>
      </c>
      <c r="B11" s="4">
        <f>'RAW_INPUTS'!$B$55</f>
        <v/>
      </c>
      <c r="C11" s="3" t="inlineStr">
        <is>
          <t>亿元</t>
        </is>
      </c>
      <c r="D11" s="3" t="inlineStr">
        <is>
          <t>财务费用注释</t>
        </is>
      </c>
      <c r="E11" s="21" t="inlineStr">
        <is>
          <t>EVD-0009</t>
        </is>
      </c>
      <c r="F11" s="13" t="n"/>
    </row>
    <row r="12" ht="17.25" customHeight="1">
      <c r="A12" s="3" t="inlineStr">
        <is>
          <t>净利息负担</t>
        </is>
      </c>
      <c r="B12" s="4">
        <f>IFERROR('RAW_INPUTS'!$B$54-'RAW_INPUTS'!$B$55,"")</f>
        <v/>
      </c>
      <c r="C12" s="3" t="inlineStr">
        <is>
          <t>亿元</t>
        </is>
      </c>
      <c r="D12" s="3" t="inlineStr">
        <is>
          <t>财务费用注释测算</t>
        </is>
      </c>
      <c r="E12" s="21" t="inlineStr">
        <is>
          <t>EVD-0009</t>
        </is>
      </c>
      <c r="F12" s="13" t="n"/>
    </row>
    <row r="13" ht="17.25" customHeight="1">
      <c r="A13" s="3" t="inlineStr">
        <is>
          <t>财务费用/营业收入</t>
        </is>
      </c>
      <c r="B13" s="4">
        <f>IFERROR('RAW_INPUTS'!$B$53/'RAW_INPUTS'!$B$32*100,"")</f>
        <v/>
      </c>
      <c r="C13" s="3" t="n"/>
      <c r="D13" s="3" t="inlineStr">
        <is>
          <t>收入与费用测算</t>
        </is>
      </c>
      <c r="E13" s="21" t="inlineStr">
        <is>
          <t>EVD-0009</t>
        </is>
      </c>
      <c r="F13" s="13" t="n"/>
    </row>
    <row r="14" ht="17.25" customHeight="1">
      <c r="A14" s="3" t="inlineStr">
        <is>
          <t>利息支出/平均有息负债</t>
        </is>
      </c>
      <c r="B14" s="4">
        <f>IFERROR('RAW_INPUTS'!$B$54/(('RAW_INPUTS'!$B$2+'RAW_INPUTS'!$B$3)/2)*100,"")</f>
        <v/>
      </c>
      <c r="C14" s="3" t="n"/>
      <c r="D14" s="3" t="inlineStr">
        <is>
          <t>按期初期末平均有息负债测算</t>
        </is>
      </c>
      <c r="E14" s="21" t="inlineStr">
        <is>
          <t>EVD-0009</t>
        </is>
      </c>
      <c r="F14" s="13" t="n"/>
    </row>
    <row r="15" ht="17.25" customHeight="1">
      <c r="A15" s="19" t="inlineStr">
        <is>
          <t>判断</t>
        </is>
      </c>
      <c r="B15" s="36" t="n"/>
      <c r="C15" s="36" t="n"/>
      <c r="D15" s="36" t="n"/>
      <c r="E15" s="37" t="n"/>
      <c r="F15" s="13" t="n"/>
    </row>
    <row r="16" ht="17.25" customHeight="1">
      <c r="A16" s="12" t="inlineStr">
        <is>
          <t>指标</t>
        </is>
      </c>
      <c r="B16" s="2" t="inlineStr">
        <is>
          <t>数值</t>
        </is>
      </c>
      <c r="C16" s="12" t="inlineStr">
        <is>
          <t>单位</t>
        </is>
      </c>
      <c r="D16" s="12" t="inlineStr">
        <is>
          <t>来源</t>
        </is>
      </c>
      <c r="E16" s="12" t="inlineStr">
        <is>
          <t>证据</t>
        </is>
      </c>
      <c r="F16" s="13" t="n"/>
    </row>
    <row r="17" ht="17.25" customHeight="1">
      <c r="A17" s="3" t="inlineStr">
        <is>
          <t>结论</t>
        </is>
      </c>
      <c r="B17" s="22" t="inlineStr">
        <is>
          <t>融资成本仍是利润表的重要消耗项，且主要依赖再融资滚动消化。</t>
        </is>
      </c>
      <c r="C17" s="3" t="n"/>
      <c r="D17" s="3" t="inlineStr">
        <is>
          <t>专题判断</t>
        </is>
      </c>
      <c r="E17" s="21" t="inlineStr">
        <is>
          <t>EVD-0009</t>
        </is>
      </c>
      <c r="F17" s="13" t="n"/>
    </row>
    <row r="18" ht="17.25" customHeight="1">
      <c r="A18" s="13" t="n"/>
      <c r="B18" s="25" t="n"/>
      <c r="C18" s="13" t="n"/>
      <c r="D18" s="13" t="n"/>
      <c r="E18" s="13" t="n"/>
      <c r="F18" s="13" t="n"/>
    </row>
    <row r="19" ht="17.25" customHeight="1">
      <c r="A19" s="19" t="inlineStr">
        <is>
          <t>风险信号</t>
        </is>
      </c>
      <c r="B19" s="36" t="n"/>
      <c r="C19" s="36" t="n"/>
      <c r="D19" s="36" t="n"/>
      <c r="E19" s="37" t="n"/>
      <c r="F19" s="13" t="n"/>
    </row>
    <row r="20" ht="17.25" customHeight="1">
      <c r="A20" s="12" t="inlineStr">
        <is>
          <t>信号</t>
        </is>
      </c>
      <c r="B20" s="2" t="inlineStr">
        <is>
          <t>等级</t>
        </is>
      </c>
      <c r="C20" s="12" t="inlineStr">
        <is>
          <t>影响</t>
        </is>
      </c>
      <c r="D20" s="12" t="inlineStr">
        <is>
          <t>证据</t>
        </is>
      </c>
      <c r="E20" s="12" t="n"/>
      <c r="F20" s="13" t="n"/>
    </row>
    <row r="21" ht="17.25" customHeight="1">
      <c r="A21" s="3" t="inlineStr">
        <is>
          <t>融资成本侵蚀利润</t>
        </is>
      </c>
      <c r="B21" s="23" t="inlineStr">
        <is>
          <t>高</t>
        </is>
      </c>
      <c r="C21" s="3" t="inlineStr">
        <is>
          <t>财务费用率约 24.72%，融资成本压力高。</t>
        </is>
      </c>
      <c r="D21" s="3" t="inlineStr">
        <is>
          <t>财务费用 309,211,034.42；利息支出 312,473,821.71</t>
        </is>
      </c>
      <c r="E21" s="37" t="n"/>
      <c r="F21" s="13" t="n"/>
    </row>
  </sheetData>
  <mergeCells count="6">
    <mergeCell ref="A4:E5"/>
    <mergeCell ref="A15:E15"/>
    <mergeCell ref="A7:E7"/>
    <mergeCell ref="A1:F1"/>
    <mergeCell ref="A19:E19"/>
    <mergeCell ref="D21:E21"/>
  </mergeCells>
  <pageMargins left="0.25" right="0.25" top="0.3" bottom="0.3" header="0.3" footer="0.3"/>
  <pageSetup orientation="landscape" fitToHeight="1" fitToWidth="1"/>
</worksheet>
</file>

<file path=xl/worksheets/sheet7.xml><?xml version="1.0" encoding="utf-8"?>
<worksheet xmlns="http://schemas.openxmlformats.org/spreadsheetml/2006/main">
  <sheetPr>
    <outlinePr summaryBelow="0"/>
    <pageSetUpPr fitToPage="1"/>
  </sheetPr>
  <dimension ref="A1:F31"/>
  <sheetViews>
    <sheetView workbookViewId="0">
      <pane xSplit="0" ySplit="2" topLeftCell="A3" activePane="bottomLeft" state="frozen"/>
      <selection activeCell="A1" sqref="A1"/>
    </sheetView>
  </sheetViews>
  <sheetFormatPr baseColWidth="8" defaultRowHeight="15"/>
  <cols>
    <col width="20.71928571428571" bestFit="1" customWidth="1" style="13" min="1" max="1"/>
    <col width="18.71928571428571" bestFit="1" customWidth="1" style="25" min="2" max="2"/>
    <col width="18.71928571428571" bestFit="1" customWidth="1" style="13" min="3" max="3"/>
    <col width="18.71928571428571" bestFit="1" customWidth="1" style="13" min="4" max="4"/>
    <col width="18.71928571428571" bestFit="1" customWidth="1" style="13" min="5" max="5"/>
    <col width="12.43357142857143" bestFit="1" customWidth="1" style="13" min="6" max="6"/>
  </cols>
  <sheetData>
    <row r="1" ht="17.25" customHeight="1">
      <c r="A1" s="7" t="inlineStr">
        <is>
          <t>城投专题分析</t>
        </is>
      </c>
      <c r="B1" s="34" t="n"/>
      <c r="C1" s="34" t="n"/>
      <c r="D1" s="34" t="n"/>
      <c r="E1" s="34" t="n"/>
      <c r="F1" s="35" t="n"/>
    </row>
    <row r="2" ht="17.25" customFormat="1" customHeight="1" s="9">
      <c r="A2" s="10" t="inlineStr">
        <is>
          <t>专题模块</t>
        </is>
      </c>
      <c r="B2" s="15" t="n"/>
      <c r="C2" s="11" t="n"/>
      <c r="D2" s="11" t="n"/>
      <c r="E2" s="11" t="n"/>
      <c r="F2" s="11" t="n"/>
    </row>
    <row r="3" ht="17.25" customHeight="1">
      <c r="A3" s="13" t="n"/>
      <c r="B3" s="25" t="n"/>
      <c r="C3" s="13" t="n"/>
      <c r="D3" s="13" t="n"/>
      <c r="E3" s="13" t="n"/>
      <c r="F3" s="13" t="n"/>
    </row>
    <row r="4" ht="17.25" customFormat="1" customHeight="1" s="9">
      <c r="A4" s="17" t="inlineStr">
        <is>
          <t>公司城投属性突出，开发存货几乎全部由政府项目构成，应收、其他应收和预付款项也高度集中于政府及国有平台，市场化资产占比很低。</t>
        </is>
      </c>
      <c r="B4" s="40" t="n"/>
      <c r="C4" s="40" t="n"/>
      <c r="D4" s="40" t="n"/>
      <c r="E4" s="41" t="n"/>
      <c r="F4" s="11" t="n"/>
    </row>
    <row r="5" ht="17.25" customFormat="1" customHeight="1" s="9">
      <c r="A5" s="42" t="n"/>
      <c r="B5" s="43" t="n"/>
      <c r="C5" s="43" t="n"/>
      <c r="D5" s="43" t="n"/>
      <c r="E5" s="44" t="n"/>
      <c r="F5" s="11" t="n"/>
    </row>
    <row r="6" ht="17.25" customHeight="1">
      <c r="A6" s="13" t="n"/>
      <c r="B6" s="25" t="n"/>
      <c r="C6" s="13" t="n"/>
      <c r="D6" s="13" t="n"/>
      <c r="E6" s="13" t="n"/>
      <c r="F6" s="13" t="n"/>
    </row>
    <row r="7" ht="17.25" customHeight="1">
      <c r="A7" s="19" t="inlineStr">
        <is>
          <t>城投业务拆分</t>
        </is>
      </c>
      <c r="B7" s="36" t="n"/>
      <c r="C7" s="36" t="n"/>
      <c r="D7" s="36" t="n"/>
      <c r="E7" s="37" t="n"/>
      <c r="F7" s="13" t="n"/>
    </row>
    <row r="8" ht="17.25" customHeight="1">
      <c r="A8" s="12" t="inlineStr">
        <is>
          <t>指标</t>
        </is>
      </c>
      <c r="B8" s="2" t="inlineStr">
        <is>
          <t>数值</t>
        </is>
      </c>
      <c r="C8" s="12" t="inlineStr">
        <is>
          <t>单位</t>
        </is>
      </c>
      <c r="D8" s="12" t="inlineStr">
        <is>
          <t>来源</t>
        </is>
      </c>
      <c r="E8" s="12" t="inlineStr">
        <is>
          <t>证据</t>
        </is>
      </c>
      <c r="F8" s="13" t="n"/>
    </row>
    <row r="9" ht="17.25" customHeight="1">
      <c r="A9" s="3" t="inlineStr">
        <is>
          <t>存货总额</t>
        </is>
      </c>
      <c r="B9" s="4">
        <f>'RAW_INPUTS'!$B$59</f>
        <v/>
      </c>
      <c r="C9" s="3" t="inlineStr">
        <is>
          <t>亿元</t>
        </is>
      </c>
      <c r="D9" s="3" t="inlineStr">
        <is>
          <t>存货注释</t>
        </is>
      </c>
      <c r="E9" s="21" t="inlineStr">
        <is>
          <t>EVD-0010</t>
        </is>
      </c>
      <c r="F9" s="13" t="n"/>
    </row>
    <row r="10" ht="17.25" customHeight="1">
      <c r="A10" s="3" t="inlineStr">
        <is>
          <t>政府相关库存资产</t>
        </is>
      </c>
      <c r="B10" s="4">
        <f>IFERROR('RAW_INPUTS'!$B$5-'RAW_INPUTS'!$B$4,"")</f>
        <v/>
      </c>
      <c r="C10" s="3" t="inlineStr">
        <is>
          <t>亿元</t>
        </is>
      </c>
      <c r="D10" s="3" t="inlineStr">
        <is>
          <t>按项目拆分</t>
        </is>
      </c>
      <c r="E10" s="21" t="inlineStr">
        <is>
          <t>EVD-0010</t>
        </is>
      </c>
      <c r="F10" s="13" t="n"/>
    </row>
    <row r="11" ht="17.25" customHeight="1">
      <c r="A11" s="3" t="inlineStr">
        <is>
          <t>市场相关库存资产</t>
        </is>
      </c>
      <c r="B11" s="4">
        <f>'RAW_INPUTS'!$B$4</f>
        <v/>
      </c>
      <c r="C11" s="3" t="inlineStr">
        <is>
          <t>亿元</t>
        </is>
      </c>
      <c r="D11" s="3" t="inlineStr">
        <is>
          <t>按项目拆分</t>
        </is>
      </c>
      <c r="E11" s="21" t="inlineStr">
        <is>
          <t>EVD-0010</t>
        </is>
      </c>
      <c r="F11" s="13" t="n"/>
    </row>
    <row r="12" ht="17.25" customHeight="1">
      <c r="A12" s="3" t="inlineStr">
        <is>
          <t>政府相关库存占比</t>
        </is>
      </c>
      <c r="B12" s="4">
        <f>IFERROR('RAW_INPUTS'!$B$60/'RAW_INPUTS'!$B$5*100,"")</f>
        <v/>
      </c>
      <c r="C12" s="3" t="n"/>
      <c r="D12" s="3" t="inlineStr">
        <is>
          <t>按项目拆分</t>
        </is>
      </c>
      <c r="E12" s="21" t="inlineStr">
        <is>
          <t>EVD-0010</t>
        </is>
      </c>
      <c r="F12" s="13" t="n"/>
    </row>
    <row r="13" ht="17.25" customHeight="1">
      <c r="A13" s="3" t="inlineStr">
        <is>
          <t>土地一级开发</t>
        </is>
      </c>
      <c r="B13" s="4">
        <f>'RAW_INPUTS'!$B$63</f>
        <v/>
      </c>
      <c r="C13" s="3" t="inlineStr">
        <is>
          <t>亿元</t>
        </is>
      </c>
      <c r="D13" s="3" t="inlineStr">
        <is>
          <t>开发成本拆分</t>
        </is>
      </c>
      <c r="E13" s="21" t="inlineStr">
        <is>
          <t>EVD-0010</t>
        </is>
      </c>
      <c r="F13" s="13" t="n"/>
    </row>
    <row r="14" ht="17.25" customHeight="1">
      <c r="A14" s="3" t="inlineStr">
        <is>
          <t>代建项目</t>
        </is>
      </c>
      <c r="B14" s="4">
        <f>'RAW_INPUTS'!$B$64</f>
        <v/>
      </c>
      <c r="C14" s="3" t="inlineStr">
        <is>
          <t>亿元</t>
        </is>
      </c>
      <c r="D14" s="3" t="inlineStr">
        <is>
          <t>开发成本拆分</t>
        </is>
      </c>
      <c r="E14" s="21" t="inlineStr">
        <is>
          <t>EVD-0010</t>
        </is>
      </c>
      <c r="F14" s="13" t="n"/>
    </row>
    <row r="15" ht="17.25" customHeight="1">
      <c r="A15" s="3" t="inlineStr">
        <is>
          <t>保障安置房成本</t>
        </is>
      </c>
      <c r="B15" s="4">
        <f>'RAW_INPUTS'!$B$65</f>
        <v/>
      </c>
      <c r="C15" s="3" t="inlineStr">
        <is>
          <t>亿元</t>
        </is>
      </c>
      <c r="D15" s="3" t="inlineStr">
        <is>
          <t>开发成本拆分</t>
        </is>
      </c>
      <c r="E15" s="21" t="inlineStr">
        <is>
          <t>EVD-0010</t>
        </is>
      </c>
      <c r="F15" s="13" t="n"/>
    </row>
    <row r="16" ht="17.25" customHeight="1">
      <c r="A16" s="19" t="inlineStr">
        <is>
          <t>政府往来与资产端</t>
        </is>
      </c>
      <c r="B16" s="36" t="n"/>
      <c r="C16" s="36" t="n"/>
      <c r="D16" s="36" t="n"/>
      <c r="E16" s="37" t="n"/>
      <c r="F16" s="13" t="n"/>
    </row>
    <row r="17" ht="17.25" customHeight="1">
      <c r="A17" s="12" t="inlineStr">
        <is>
          <t>指标</t>
        </is>
      </c>
      <c r="B17" s="2" t="inlineStr">
        <is>
          <t>数值</t>
        </is>
      </c>
      <c r="C17" s="12" t="inlineStr">
        <is>
          <t>单位</t>
        </is>
      </c>
      <c r="D17" s="12" t="inlineStr">
        <is>
          <t>来源</t>
        </is>
      </c>
      <c r="E17" s="12" t="inlineStr">
        <is>
          <t>证据</t>
        </is>
      </c>
      <c r="F17" s="13" t="n"/>
    </row>
    <row r="18" ht="17.25" customHeight="1">
      <c r="A18" s="3" t="inlineStr">
        <is>
          <t>应收账款政府组合</t>
        </is>
      </c>
      <c r="B18" s="4">
        <f>'RAW_INPUTS'!$B$66</f>
        <v/>
      </c>
      <c r="C18" s="3" t="inlineStr">
        <is>
          <t>亿元</t>
        </is>
      </c>
      <c r="D18" s="3" t="inlineStr">
        <is>
          <t>应收账款组合</t>
        </is>
      </c>
      <c r="E18" s="21" t="inlineStr">
        <is>
          <t>EVD-0018</t>
        </is>
      </c>
      <c r="F18" s="13" t="n"/>
    </row>
    <row r="19" ht="17.25" customHeight="1">
      <c r="A19" s="3" t="inlineStr">
        <is>
          <t>应收账款政府组合占比</t>
        </is>
      </c>
      <c r="B19" s="4">
        <f>IFERROR('RAW_INPUTS'!$B$66/'RAW_INPUTS'!$B$8*100,"")</f>
        <v/>
      </c>
      <c r="C19" s="3" t="n"/>
      <c r="D19" s="3" t="inlineStr">
        <is>
          <t>应收账款组合</t>
        </is>
      </c>
      <c r="E19" s="21" t="inlineStr">
        <is>
          <t>EVD-0018</t>
        </is>
      </c>
      <c r="F19" s="13" t="n"/>
    </row>
    <row r="20" ht="17.25" customHeight="1">
      <c r="A20" s="3" t="inlineStr">
        <is>
          <t>其他应收款政府组合</t>
        </is>
      </c>
      <c r="B20" s="4">
        <f>'RAW_INPUTS'!$B$68</f>
        <v/>
      </c>
      <c r="C20" s="3" t="inlineStr">
        <is>
          <t>亿元</t>
        </is>
      </c>
      <c r="D20" s="3" t="inlineStr">
        <is>
          <t>其他应收款组合</t>
        </is>
      </c>
      <c r="E20" s="21" t="inlineStr">
        <is>
          <t>EVD-0018</t>
        </is>
      </c>
      <c r="F20" s="13" t="n"/>
    </row>
    <row r="21" ht="17.25" customHeight="1">
      <c r="A21" s="3" t="inlineStr">
        <is>
          <t>其他应收款政府组合占比</t>
        </is>
      </c>
      <c r="B21" s="4">
        <f>IFERROR('RAW_INPUTS'!$B$68/'RAW_INPUTS'!$B$9*100,"")</f>
        <v/>
      </c>
      <c r="C21" s="3" t="n"/>
      <c r="D21" s="3" t="inlineStr">
        <is>
          <t>其他应收款组合</t>
        </is>
      </c>
      <c r="E21" s="21" t="inlineStr">
        <is>
          <t>EVD-0018</t>
        </is>
      </c>
      <c r="F21" s="13" t="n"/>
    </row>
    <row r="22" ht="17.25" customHeight="1">
      <c r="A22" s="3" t="inlineStr">
        <is>
          <t>预付款项政府对象</t>
        </is>
      </c>
      <c r="B22" s="4">
        <f>'RAW_INPUTS'!$B$70</f>
        <v/>
      </c>
      <c r="C22" s="3" t="inlineStr">
        <is>
          <t>亿元</t>
        </is>
      </c>
      <c r="D22" s="3" t="inlineStr">
        <is>
          <t>预付款项前五名</t>
        </is>
      </c>
      <c r="E22" s="21" t="inlineStr">
        <is>
          <t>EVD-0009</t>
        </is>
      </c>
      <c r="F22" s="13" t="n"/>
    </row>
    <row r="23" ht="17.25" customHeight="1">
      <c r="A23" s="3" t="inlineStr">
        <is>
          <t>预付款项政府对象占比</t>
        </is>
      </c>
      <c r="B23" s="4">
        <f>IFERROR('RAW_INPUTS'!$B$70/'RAW_INPUTS'!$B$10*100,"")</f>
        <v/>
      </c>
      <c r="C23" s="3" t="n"/>
      <c r="D23" s="3" t="inlineStr">
        <is>
          <t>预付款项前五名</t>
        </is>
      </c>
      <c r="E23" s="21" t="inlineStr">
        <is>
          <t>EVD-0009</t>
        </is>
      </c>
      <c r="F23" s="13" t="n"/>
    </row>
    <row r="24" ht="17.25" customHeight="1">
      <c r="A24" s="19" t="inlineStr">
        <is>
          <t>判断</t>
        </is>
      </c>
      <c r="B24" s="36" t="n"/>
      <c r="C24" s="36" t="n"/>
      <c r="D24" s="36" t="n"/>
      <c r="E24" s="37" t="n"/>
      <c r="F24" s="13" t="n"/>
    </row>
    <row r="25" ht="17.25" customHeight="1">
      <c r="A25" s="12" t="inlineStr">
        <is>
          <t>指标</t>
        </is>
      </c>
      <c r="B25" s="2" t="inlineStr">
        <is>
          <t>数值</t>
        </is>
      </c>
      <c r="C25" s="12" t="inlineStr">
        <is>
          <t>单位</t>
        </is>
      </c>
      <c r="D25" s="12" t="inlineStr">
        <is>
          <t>来源</t>
        </is>
      </c>
      <c r="E25" s="12" t="inlineStr">
        <is>
          <t>证据</t>
        </is>
      </c>
      <c r="F25" s="13" t="n"/>
    </row>
    <row r="26" ht="17.25" customHeight="1">
      <c r="A26" s="3" t="inlineStr">
        <is>
          <t>结论</t>
        </is>
      </c>
      <c r="B26" s="22" t="inlineStr">
        <is>
          <t>资产端政府化程度高，项目结算与财政安排决定回款节奏，市场化业务占比很低。</t>
        </is>
      </c>
      <c r="C26" s="3" t="n"/>
      <c r="D26" s="3" t="inlineStr">
        <is>
          <t>专题判断</t>
        </is>
      </c>
      <c r="E26" s="21" t="inlineStr">
        <is>
          <t>EVD-0010, EVD-0017</t>
        </is>
      </c>
      <c r="F26" s="13" t="n"/>
    </row>
    <row r="27" ht="17.25" customHeight="1">
      <c r="A27" s="13" t="n"/>
      <c r="B27" s="25" t="n"/>
      <c r="C27" s="13" t="n"/>
      <c r="D27" s="13" t="n"/>
      <c r="E27" s="13" t="n"/>
      <c r="F27" s="13" t="n"/>
    </row>
    <row r="28" ht="17.25" customHeight="1">
      <c r="A28" s="19" t="inlineStr">
        <is>
          <t>风险信号</t>
        </is>
      </c>
      <c r="B28" s="36" t="n"/>
      <c r="C28" s="36" t="n"/>
      <c r="D28" s="36" t="n"/>
      <c r="E28" s="37" t="n"/>
      <c r="F28" s="13" t="n"/>
    </row>
    <row r="29" ht="17.25" customHeight="1">
      <c r="A29" s="12" t="inlineStr">
        <is>
          <t>信号</t>
        </is>
      </c>
      <c r="B29" s="2" t="inlineStr">
        <is>
          <t>等级</t>
        </is>
      </c>
      <c r="C29" s="12" t="inlineStr">
        <is>
          <t>影响</t>
        </is>
      </c>
      <c r="D29" s="12" t="inlineStr">
        <is>
          <t>证据</t>
        </is>
      </c>
      <c r="E29" s="12" t="n"/>
      <c r="F29" s="13" t="n"/>
    </row>
    <row r="30" ht="17.25" customHeight="1">
      <c r="A30" s="3" t="inlineStr">
        <is>
          <t>政府回款集中</t>
        </is>
      </c>
      <c r="B30" s="23" t="inlineStr">
        <is>
          <t>高</t>
        </is>
      </c>
      <c r="C30" s="3" t="inlineStr">
        <is>
          <t>结算与回款节奏高度依赖政府和平台。</t>
        </is>
      </c>
      <c r="D30" s="3" t="inlineStr">
        <is>
          <t>应收政府及国有控股单位款项组合 16,007,137,972.90；其他应收款政府组合 34,865,744,503.90</t>
        </is>
      </c>
      <c r="E30" s="37" t="n"/>
      <c r="F30" s="13" t="n"/>
    </row>
    <row r="31" ht="17.25" customHeight="1">
      <c r="A31" s="3" t="inlineStr">
        <is>
          <t>市场化资产占比低</t>
        </is>
      </c>
      <c r="B31" s="24" t="inlineStr">
        <is>
          <t>中</t>
        </is>
      </c>
      <c r="C31" s="3" t="inlineStr">
        <is>
          <t>存货几乎全部由城投项目构成。</t>
        </is>
      </c>
      <c r="D31" s="3" t="inlineStr">
        <is>
          <t>政府相关库存资产 609.784347729；市场相关库存资产 0.5297904293</t>
        </is>
      </c>
      <c r="E31" s="37" t="n"/>
      <c r="F31" s="13" t="n"/>
    </row>
  </sheetData>
  <mergeCells count="8">
    <mergeCell ref="D30:E30"/>
    <mergeCell ref="A4:E5"/>
    <mergeCell ref="A16:E16"/>
    <mergeCell ref="A24:E24"/>
    <mergeCell ref="A7:E7"/>
    <mergeCell ref="A1:F1"/>
    <mergeCell ref="A28:E28"/>
    <mergeCell ref="D31:E31"/>
  </mergeCells>
  <pageMargins left="0.25" right="0.25" top="0.3" bottom="0.3" header="0.3" footer="0.3"/>
  <pageSetup orientation="landscape" fitToHeight="1" fitToWidth="1"/>
</worksheet>
</file>

<file path=xl/worksheets/sheet8.xml><?xml version="1.0" encoding="utf-8"?>
<worksheet xmlns="http://schemas.openxmlformats.org/spreadsheetml/2006/main">
  <sheetPr>
    <outlinePr summaryBelow="0"/>
    <pageSetUpPr fitToPage="1"/>
  </sheetPr>
  <dimension ref="A1:H26"/>
  <sheetViews>
    <sheetView workbookViewId="0">
      <pane xSplit="0" ySplit="2" topLeftCell="A3" activePane="bottomLeft" state="frozen"/>
      <selection activeCell="A1" sqref="A1"/>
    </sheetView>
  </sheetViews>
  <sheetFormatPr baseColWidth="8" defaultRowHeight="15"/>
  <cols>
    <col width="12.71928571428571" bestFit="1" customWidth="1" style="13" min="1" max="1"/>
    <col width="28.71928571428571" bestFit="1" customWidth="1" style="13" min="2" max="2"/>
    <col width="18.71928571428571" bestFit="1" customWidth="1" style="13" min="3" max="3"/>
    <col width="42.71928571428572" bestFit="1" customWidth="1" style="13" min="4" max="4"/>
    <col width="14.71928571428571" bestFit="1" customWidth="1" style="13" min="5" max="5"/>
    <col width="14.71928571428571" bestFit="1" customWidth="1" style="13" min="6" max="6"/>
    <col width="14.71928571428571" bestFit="1" customWidth="1" style="13" min="7" max="7"/>
    <col width="14.71928571428571" bestFit="1" customWidth="1" style="13" min="8" max="8"/>
  </cols>
  <sheetData>
    <row r="1" ht="17.25" customHeight="1">
      <c r="A1" s="7" t="inlineStr">
        <is>
          <t>Evidence Index</t>
        </is>
      </c>
      <c r="B1" s="34" t="n"/>
      <c r="C1" s="34" t="n"/>
      <c r="D1" s="34" t="n"/>
      <c r="E1" s="34" t="n"/>
      <c r="F1" s="35" t="n"/>
      <c r="G1" s="13" t="n"/>
      <c r="H1" s="13" t="n"/>
    </row>
    <row r="2" ht="17.25" customFormat="1" customHeight="1" s="9">
      <c r="A2" s="10" t="inlineStr">
        <is>
          <t>固定骨架模块 99</t>
        </is>
      </c>
      <c r="B2" s="11" t="n"/>
      <c r="C2" s="11" t="n"/>
      <c r="D2" s="11" t="n"/>
      <c r="E2" s="11" t="n"/>
      <c r="F2" s="11" t="n"/>
      <c r="G2" s="11" t="n"/>
      <c r="H2" s="11" t="n"/>
    </row>
    <row r="3" ht="17.25" customHeight="1">
      <c r="A3" s="13" t="n"/>
      <c r="B3" s="13" t="n"/>
      <c r="C3" s="13" t="n"/>
      <c r="D3" s="13" t="n"/>
      <c r="E3" s="13" t="n"/>
      <c r="F3" s="13" t="n"/>
      <c r="G3" s="13" t="n"/>
      <c r="H3" s="13" t="n"/>
    </row>
    <row r="4" ht="17.25" customHeight="1">
      <c r="A4" s="12" t="inlineStr">
        <is>
          <t>证据ID</t>
        </is>
      </c>
      <c r="B4" s="12" t="inlineStr">
        <is>
          <t>字段路径</t>
        </is>
      </c>
      <c r="C4" s="12" t="inlineStr">
        <is>
          <t>Sheet</t>
        </is>
      </c>
      <c r="D4" s="12" t="inlineStr">
        <is>
          <t>证据片段</t>
        </is>
      </c>
      <c r="E4" s="12" t="inlineStr">
        <is>
          <t>文档</t>
        </is>
      </c>
      <c r="F4" s="12" t="inlineStr">
        <is>
          <t>章节</t>
        </is>
      </c>
      <c r="G4" s="12" t="inlineStr">
        <is>
          <t>附注</t>
        </is>
      </c>
      <c r="H4" s="12" t="inlineStr">
        <is>
          <t>置信度</t>
        </is>
      </c>
    </row>
    <row r="5" ht="17.25" customFormat="1" customHeight="1" s="9">
      <c r="A5" s="3" t="inlineStr">
        <is>
          <t>EVD-0001</t>
        </is>
      </c>
      <c r="B5" s="3" t="inlineStr">
        <is>
          <t>chapter_records.1.evidence</t>
        </is>
      </c>
      <c r="C5" s="3" t="inlineStr">
        <is>
          <t>00_overview</t>
        </is>
      </c>
      <c r="D5" s="3" t="inlineStr">
        <is>
          <t># 一、公司基本情况 浙江杭海新城控股集团有限公司（以下简称公司或本公司）原名海宁高新区科创中心有限公司（以下简称科创中心），科创中心原由海宁仰山实业集团有限公司(以下简称仰山实业)发起设立，设立时注册资本 500万元，并于 2015年 9 月 25 日在海宁市市场监督管理局登记注册；经历次增资及股权转让，公司股东变…</t>
        </is>
      </c>
      <c r="E5" s="3" t="inlineStr">
        <is>
          <t>chapter_records</t>
        </is>
      </c>
      <c r="F5" s="3" t="inlineStr">
        <is>
          <t>1 一、公司基本情况</t>
        </is>
      </c>
      <c r="G5" s="3" t="inlineStr">
        <is>
          <t>1</t>
        </is>
      </c>
      <c r="H5" s="3" t="inlineStr">
        <is>
          <t>medium</t>
        </is>
      </c>
    </row>
    <row r="6" ht="17.25" customFormat="1" customHeight="1" s="9">
      <c r="A6" s="3" t="inlineStr">
        <is>
          <t>EVD-0002</t>
        </is>
      </c>
      <c r="B6" s="3" t="inlineStr">
        <is>
          <t>chapter_records.1.evidence</t>
        </is>
      </c>
      <c r="C6" s="3" t="inlineStr">
        <is>
          <t>00_overview</t>
        </is>
      </c>
      <c r="D6" s="3" t="inlineStr">
        <is>
          <t>浙江杭海新城控股集团有限公司（以下简称公司或本公司）原名海宁高新区科创中心有限公司（以下简称科创中心），科创中心原由海宁仰山实业集团有限公司(以下简称仰山实业)发起设立，设立时注册资本 500万元，并于 2015年 9 月 25 日在海宁市市场监督管理局登记注册。经历次增资及股权转让，公司股东变更为海宁市人民政府国有…</t>
        </is>
      </c>
      <c r="E6" s="3" t="inlineStr">
        <is>
          <t>chapter_records</t>
        </is>
      </c>
      <c r="F6" s="3" t="inlineStr">
        <is>
          <t>1 一、公司基本情况</t>
        </is>
      </c>
      <c r="G6" s="3" t="inlineStr">
        <is>
          <t>1</t>
        </is>
      </c>
      <c r="H6" s="3" t="inlineStr">
        <is>
          <t>medium</t>
        </is>
      </c>
    </row>
    <row r="7" ht="17.25" customFormat="1" customHeight="1" s="9">
      <c r="A7" s="3" t="inlineStr">
        <is>
          <t>EVD-0003</t>
        </is>
      </c>
      <c r="B7" s="3" t="inlineStr">
        <is>
          <t>chapter_records.2.evidence</t>
        </is>
      </c>
      <c r="C7" s="3" t="inlineStr">
        <is>
          <t>00_overview</t>
        </is>
      </c>
      <c r="D7" s="3" t="inlineStr">
        <is>
          <t># 二、财务报表的编制基础 # (一) 编制基础 本公司财务报表以持续经营为编制基础；# (二) 持续经营能力评价 本公司不存在导致对报告期末起 12个月内的持续经营能力产生重大疑虑的事项或情况</t>
        </is>
      </c>
      <c r="E7" s="3" t="inlineStr">
        <is>
          <t>chapter_records</t>
        </is>
      </c>
      <c r="F7" s="3" t="inlineStr">
        <is>
          <t>2 二、财务报表的编制基础</t>
        </is>
      </c>
      <c r="G7" s="3" t="inlineStr">
        <is>
          <t>2</t>
        </is>
      </c>
      <c r="H7" s="3" t="inlineStr">
        <is>
          <t>medium</t>
        </is>
      </c>
    </row>
    <row r="8" ht="17.25" customFormat="1" customHeight="1" s="9">
      <c r="A8" s="3" t="inlineStr">
        <is>
          <t>EVD-0004</t>
        </is>
      </c>
      <c r="B8" s="3" t="inlineStr">
        <is>
          <t>chapter_records.2.evidence</t>
        </is>
      </c>
      <c r="C8" s="3" t="inlineStr">
        <is>
          <t>00_overview</t>
        </is>
      </c>
      <c r="D8" s="3" t="inlineStr">
        <is>
          <t>本公司不存在导致对报告期末起 12个月内的持续经营能力产生重大疑虑的事项或情况。</t>
        </is>
      </c>
      <c r="E8" s="3" t="inlineStr">
        <is>
          <t>chapter_records</t>
        </is>
      </c>
      <c r="F8" s="3" t="inlineStr">
        <is>
          <t>2 二、财务报表的编制基础</t>
        </is>
      </c>
      <c r="G8" s="3" t="inlineStr">
        <is>
          <t>2</t>
        </is>
      </c>
      <c r="H8" s="3" t="inlineStr">
        <is>
          <t>medium</t>
        </is>
      </c>
    </row>
    <row r="9" ht="17.25" customFormat="1" customHeight="1" s="9">
      <c r="A9" s="3" t="inlineStr">
        <is>
          <t>EVD-0005</t>
        </is>
      </c>
      <c r="B9" s="3" t="inlineStr">
        <is>
          <t>chapter_records.3.evidence</t>
        </is>
      </c>
      <c r="C9" s="3" t="inlineStr">
        <is>
          <t>00_overview</t>
        </is>
      </c>
      <c r="D9" s="3" t="inlineStr">
        <is>
          <t># 三、重要会计政策和会计估计 # (一) 遵循企业会计准则的声明 本财务报表符合企业会计准则的要求，真实、完整地反映了企业的财务状况、经营成果和现金流量等有关信息；# (二) 会计期间 会计年度自公历 1 月 1 日起至 12 月 31 日止</t>
        </is>
      </c>
      <c r="E9" s="3" t="inlineStr">
        <is>
          <t>chapter_records</t>
        </is>
      </c>
      <c r="F9" s="3" t="inlineStr">
        <is>
          <t>3 三、重要会计政策和会计估计</t>
        </is>
      </c>
      <c r="G9" s="3" t="inlineStr">
        <is>
          <t>3</t>
        </is>
      </c>
      <c r="H9" s="3" t="inlineStr">
        <is>
          <t>medium</t>
        </is>
      </c>
    </row>
    <row r="10" ht="17.25" customFormat="1" customHeight="1" s="9">
      <c r="A10" s="3" t="inlineStr">
        <is>
          <t>EVD-0006</t>
        </is>
      </c>
      <c r="B10" s="3" t="inlineStr">
        <is>
          <t>chapter_records.3.evidence</t>
        </is>
      </c>
      <c r="C10" s="3" t="inlineStr">
        <is>
          <t>00_overview</t>
        </is>
      </c>
      <c r="D10" s="3" t="inlineStr">
        <is>
          <t>[注]根据海宁市人民政府《关于印发海宁市主要污染物排污权总量指标管理办法（试行）的通知》(海政发〔2017〕54 号)有关精神，公司取得的排污权可永久性使用，故无需进行摊销</t>
        </is>
      </c>
      <c r="E10" s="3" t="inlineStr">
        <is>
          <t>chapter_records</t>
        </is>
      </c>
      <c r="F10" s="3" t="inlineStr">
        <is>
          <t>3 三、重要会计政策和会计估计</t>
        </is>
      </c>
      <c r="G10" s="3" t="inlineStr">
        <is>
          <t>3</t>
        </is>
      </c>
      <c r="H10" s="3" t="inlineStr">
        <is>
          <t>medium</t>
        </is>
      </c>
    </row>
    <row r="11" ht="17.25" customFormat="1" customHeight="1" s="9">
      <c r="A11" s="3" t="inlineStr">
        <is>
          <t>EVD-0007</t>
        </is>
      </c>
      <c r="B11" s="3" t="inlineStr">
        <is>
          <t>chapter_records.4.evidence</t>
        </is>
      </c>
      <c r="C11" s="3" t="inlineStr">
        <is>
          <t>00_overview</t>
        </is>
      </c>
      <c r="D11" s="3" t="inlineStr">
        <is>
          <t># 四、税（费）项 # (一) 主要税种及税率 税 种 计税依据 税 率 增值税 房产销售收入、租赁收入、建筑服务收入等，按税法规定计算的销售货物和应税劳务收入为基础按适用征收率计缴 3%、5%、6%、9%、13% 房产税 从价计征的，按房产原值一次减除30%后余值的1.2%计缴；从租计征的，按租金收入的12%计缴…</t>
        </is>
      </c>
      <c r="E11" s="3" t="inlineStr">
        <is>
          <t>chapter_records</t>
        </is>
      </c>
      <c r="F11" s="3" t="inlineStr">
        <is>
          <t>4 四、税（费）项</t>
        </is>
      </c>
      <c r="G11" s="3" t="inlineStr">
        <is>
          <t>4</t>
        </is>
      </c>
      <c r="H11" s="3" t="inlineStr">
        <is>
          <t>medium</t>
        </is>
      </c>
    </row>
    <row r="12" ht="17.25" customFormat="1" customHeight="1" s="9">
      <c r="A12" s="3" t="inlineStr">
        <is>
          <t>EVD-0008</t>
        </is>
      </c>
      <c r="B12" s="3" t="inlineStr">
        <is>
          <t>chapter_records.4.evidence</t>
        </is>
      </c>
      <c r="C12" s="3" t="inlineStr">
        <is>
          <t>00_overview</t>
        </is>
      </c>
      <c r="D12" s="3" t="inlineStr">
        <is>
          <t>税 种 计税依据 税 率 增值税 房产销售收入、租赁收入、建筑服务收入等，按税法规定计算的销售货物和应税劳务收入为基础按适用征收率计缴 3%、5%、6%、9%、13% 房产税 从价计征的，按房产原值一次减除30%后余值的1.2%计缴；从租计征的，按租金收入的12%计缴 1.2%、12% 城市维护建设税 实际缴纳的流转…</t>
        </is>
      </c>
      <c r="E12" s="3" t="inlineStr">
        <is>
          <t>chapter_records</t>
        </is>
      </c>
      <c r="F12" s="3" t="inlineStr">
        <is>
          <t>4 四、税（费）项</t>
        </is>
      </c>
      <c r="G12" s="3" t="inlineStr">
        <is>
          <t>4</t>
        </is>
      </c>
      <c r="H12" s="3" t="inlineStr">
        <is>
          <t>medium</t>
        </is>
      </c>
    </row>
    <row r="13" ht="17.25" customFormat="1" customHeight="1" s="9">
      <c r="A13" s="3" t="inlineStr">
        <is>
          <t>EVD-0009</t>
        </is>
      </c>
      <c r="B13" s="3" t="inlineStr">
        <is>
          <t>chapter_records.5.evidence</t>
        </is>
      </c>
      <c r="C13" s="3" t="inlineStr">
        <is>
          <t>00_overview</t>
        </is>
      </c>
      <c r="D13" s="3" t="inlineStr">
        <is>
          <t># 五、合并财务报表项目注释 # (一) 合并资产负债表项目注释 # 1. 货币资金 # (1) 明细情况 项目 期末数 期初数 库存现金 7,953.43 26,404.10 银行存款 1,917,588,357.41 2,288,119,772.34 其他货币资金 143,679,696.95 114,916,2…</t>
        </is>
      </c>
      <c r="E13" s="3" t="inlineStr">
        <is>
          <t>chapter_records</t>
        </is>
      </c>
      <c r="F13" s="3" t="inlineStr">
        <is>
          <t>5 五、合并财务报表项目注释</t>
        </is>
      </c>
      <c r="G13" s="3" t="inlineStr">
        <is>
          <t>5</t>
        </is>
      </c>
      <c r="H13" s="3" t="inlineStr">
        <is>
          <t>medium</t>
        </is>
      </c>
    </row>
    <row r="14" ht="17.25" customFormat="1" customHeight="1" s="9">
      <c r="A14" s="3" t="inlineStr">
        <is>
          <t>EVD-0010</t>
        </is>
      </c>
      <c r="B14" s="3" t="inlineStr">
        <is>
          <t>chapter_records.5.evidence</t>
        </is>
      </c>
      <c r="C14" s="3" t="inlineStr">
        <is>
          <t>00_overview</t>
        </is>
      </c>
      <c r="D14" s="3" t="inlineStr">
        <is>
          <t>项目名称 期末数 期初数 土地一级开发项目 40,121,108,899.97 32,972,588,134.89 代建项目 13,542,806,227.42 12,618,894,844.40 保障安置房 2,328,279,411.70 2,220,168,821.39 小计 55,992,194,539.09…</t>
        </is>
      </c>
      <c r="E14" s="3" t="inlineStr">
        <is>
          <t>chapter_records</t>
        </is>
      </c>
      <c r="F14" s="3" t="inlineStr">
        <is>
          <t>5 五、合并财务报表项目注释</t>
        </is>
      </c>
      <c r="G14" s="3" t="inlineStr">
        <is>
          <t>5</t>
        </is>
      </c>
      <c r="H14" s="3" t="inlineStr">
        <is>
          <t>medium</t>
        </is>
      </c>
    </row>
    <row r="15" ht="17.25" customFormat="1" customHeight="1" s="9">
      <c r="A15" s="3" t="inlineStr">
        <is>
          <t>EVD-0011</t>
        </is>
      </c>
      <c r="B15" s="3" t="inlineStr">
        <is>
          <t>chapter_records.6.evidence</t>
        </is>
      </c>
      <c r="C15" s="3" t="inlineStr">
        <is>
          <t>00_overview</t>
        </is>
      </c>
      <c r="D15" s="3" t="inlineStr">
        <is>
          <t># 六、在其他主体中的权益 # (一) 企业集团的构成 1. 公司将下述子公司纳入合并财务报表范围 序号 子公司全称 子公司类型 子公司简称 1 海宁仰山实业集团有限公司 全资子公司 仰山实业 1-1 海宁仰山资产管理有限公司 仰山实业之全资子公司 仰山资产 1-2 海宁仰山开发建设有限公司 仰山实业之全资子公司 仰…</t>
        </is>
      </c>
      <c r="E15" s="3" t="inlineStr">
        <is>
          <t>chapter_records</t>
        </is>
      </c>
      <c r="F15" s="3" t="inlineStr">
        <is>
          <t>6 六、在其他主体中的权益</t>
        </is>
      </c>
      <c r="G15" s="3" t="inlineStr">
        <is>
          <t>6</t>
        </is>
      </c>
      <c r="H15" s="3" t="inlineStr">
        <is>
          <t>medium</t>
        </is>
      </c>
    </row>
    <row r="16" ht="17.25" customFormat="1" customHeight="1" s="9">
      <c r="A16" s="3" t="inlineStr">
        <is>
          <t>EVD-0012</t>
        </is>
      </c>
      <c r="B16" s="3" t="inlineStr">
        <is>
          <t>chapter_records.6.evidence</t>
        </is>
      </c>
      <c r="C16" s="3" t="inlineStr">
        <is>
          <t>00_overview</t>
        </is>
      </c>
      <c r="D16" s="3" t="inlineStr">
        <is>
          <t>宁市周王庙镇博儒股份经济合作社、海宁市周王庙镇云龙股份经济合作社、海宁市周王庙镇长春股份经济合作社、海宁市周王庙镇星火股份经济合作社、海宁市周王庙镇上林股份经济合作社共同出资设立梓盛产业。梓盛产业注册资本 186,789,952.11 元，其中钱塘新农村认缴 65,819,952.11 元，认缴比例 $3 5 . 2…</t>
        </is>
      </c>
      <c r="E16" s="3" t="inlineStr">
        <is>
          <t>chapter_records</t>
        </is>
      </c>
      <c r="F16" s="3" t="inlineStr">
        <is>
          <t>6 六、在其他主体中的权益</t>
        </is>
      </c>
      <c r="G16" s="3" t="inlineStr">
        <is>
          <t>6</t>
        </is>
      </c>
      <c r="H16" s="3" t="inlineStr">
        <is>
          <t>medium</t>
        </is>
      </c>
    </row>
    <row r="17" ht="17.25" customFormat="1" customHeight="1" s="9">
      <c r="A17" s="3" t="inlineStr">
        <is>
          <t>EVD-0013</t>
        </is>
      </c>
      <c r="B17" s="3" t="inlineStr">
        <is>
          <t>chapter_records.7.evidence</t>
        </is>
      </c>
      <c r="C17" s="3" t="inlineStr">
        <is>
          <t>00_overview</t>
        </is>
      </c>
      <c r="D17" s="3" t="inlineStr">
        <is>
          <t># 七、政府补助 # (一) 本期新增的政府补助情况 项目 本期数 上年同期数 与资产相关的政府补助 其中:计入其他收益 与收益相关的政府补助 661,826,694.70 460,815,127.43 其中:计入其他收益 661,826,694.70 460,815,127.43 财政贴息 60,000,000.0…</t>
        </is>
      </c>
      <c r="E17" s="3" t="inlineStr">
        <is>
          <t>chapter_records</t>
        </is>
      </c>
      <c r="F17" s="3" t="inlineStr">
        <is>
          <t>7 七、政府补助</t>
        </is>
      </c>
      <c r="G17" s="3" t="inlineStr">
        <is>
          <t>7</t>
        </is>
      </c>
      <c r="H17" s="3" t="inlineStr">
        <is>
          <t>medium</t>
        </is>
      </c>
    </row>
    <row r="18" ht="17.25" customFormat="1" customHeight="1" s="9">
      <c r="A18" s="3" t="inlineStr">
        <is>
          <t>EVD-0014</t>
        </is>
      </c>
      <c r="B18" s="3" t="inlineStr">
        <is>
          <t>chapter_records.7.evidence</t>
        </is>
      </c>
      <c r="C18" s="3" t="inlineStr">
        <is>
          <t>00_overview</t>
        </is>
      </c>
      <c r="D18" s="3" t="inlineStr">
        <is>
          <t>项目 本期数 上年同期数 与资产相关的政府补助 其中:计入其他收益 与收益相关的政府补助 661,826,694.70 460,815,127.43 其中:计入其他收益 661,826,694.70 460,815,127.43 财政贴息 60,000,000.00 其中:冲减财务费用 60,000,000.00 合…</t>
        </is>
      </c>
      <c r="E18" s="3" t="inlineStr">
        <is>
          <t>chapter_records</t>
        </is>
      </c>
      <c r="F18" s="3" t="inlineStr">
        <is>
          <t>7 七、政府补助</t>
        </is>
      </c>
      <c r="G18" s="3" t="inlineStr">
        <is>
          <t>7</t>
        </is>
      </c>
      <c r="H18" s="3" t="inlineStr">
        <is>
          <t>medium</t>
        </is>
      </c>
    </row>
    <row r="19" ht="17.25" customFormat="1" customHeight="1" s="9">
      <c r="A19" s="3" t="inlineStr">
        <is>
          <t>EVD-0015</t>
        </is>
      </c>
      <c r="B19" s="3" t="inlineStr">
        <is>
          <t>chapter_records.8.evidence</t>
        </is>
      </c>
      <c r="C19" s="3" t="inlineStr">
        <is>
          <t>00_overview</t>
        </is>
      </c>
      <c r="D19" s="3" t="inlineStr">
        <is>
          <t># 八、公允价值的披露 项目 期末公允价值[注] 第一层次公允价值计量 第二层次公允价值计量 第三层次公允价值计量 合计 持续的公允价值计量 1．交易性金融资产和其他非流动金融资产 10,060,000.00 457,000,000.00 467,060,000.00 (1)分类为以公允价值计量且其变动计入当期损益的…</t>
        </is>
      </c>
      <c r="E19" s="3" t="inlineStr">
        <is>
          <t>chapter_records</t>
        </is>
      </c>
      <c r="F19" s="3" t="inlineStr">
        <is>
          <t>8 八、公允价值的披露</t>
        </is>
      </c>
      <c r="G19" s="3" t="inlineStr">
        <is>
          <t>8</t>
        </is>
      </c>
      <c r="H19" s="3" t="inlineStr">
        <is>
          <t>medium</t>
        </is>
      </c>
    </row>
    <row r="20" ht="17.25" customFormat="1" customHeight="1" s="9">
      <c r="A20" s="3" t="inlineStr">
        <is>
          <t>EVD-0016</t>
        </is>
      </c>
      <c r="B20" s="3" t="inlineStr">
        <is>
          <t>chapter_records.8.evidence</t>
        </is>
      </c>
      <c r="C20" s="3" t="inlineStr">
        <is>
          <t>00_overview</t>
        </is>
      </c>
      <c r="D20" s="3" t="inlineStr">
        <is>
          <t>(2) 持续第二层次公允价值计量项目，公司按照在计量日活跃市场中类似资产或负债的报价、非活跃市场中相同或类似资产或负债的报价，以及在正常报价间隔期间可观察的利率或收益率曲线等确定公允价值。</t>
        </is>
      </c>
      <c r="E20" s="3" t="inlineStr">
        <is>
          <t>chapter_records</t>
        </is>
      </c>
      <c r="F20" s="3" t="inlineStr">
        <is>
          <t>8 八、公允价值的披露</t>
        </is>
      </c>
      <c r="G20" s="3" t="inlineStr">
        <is>
          <t>8</t>
        </is>
      </c>
      <c r="H20" s="3" t="inlineStr">
        <is>
          <t>medium</t>
        </is>
      </c>
    </row>
    <row r="21" ht="17.25" customFormat="1" customHeight="1" s="9">
      <c r="A21" s="3" t="inlineStr">
        <is>
          <t>EVD-0017</t>
        </is>
      </c>
      <c r="B21" s="3" t="inlineStr">
        <is>
          <t>chapter_records.9.evidence</t>
        </is>
      </c>
      <c r="C21" s="3" t="inlineStr">
        <is>
          <t>00_overview</t>
        </is>
      </c>
      <c r="D21" s="3" t="inlineStr">
        <is>
          <t># 九、关联方及关联交易 # (一) 关联方情况 1. 本公司最终控制方是海宁市人民政府国有资产监督管理办公室；2. 本公司的子公司情况详见本财务报表附注六(一)之说明</t>
        </is>
      </c>
      <c r="E21" s="3" t="inlineStr">
        <is>
          <t>chapter_records</t>
        </is>
      </c>
      <c r="F21" s="3" t="inlineStr">
        <is>
          <t>9 九、关联方及关联交易</t>
        </is>
      </c>
      <c r="G21" s="3" t="inlineStr">
        <is>
          <t>9</t>
        </is>
      </c>
      <c r="H21" s="3" t="inlineStr">
        <is>
          <t>medium</t>
        </is>
      </c>
    </row>
    <row r="22" ht="17.25" customFormat="1" customHeight="1" s="9">
      <c r="A22" s="3" t="inlineStr">
        <is>
          <t>EVD-0018</t>
        </is>
      </c>
      <c r="B22" s="3" t="inlineStr">
        <is>
          <t>chapter_records.9.evidence</t>
        </is>
      </c>
      <c r="C22" s="3" t="inlineStr">
        <is>
          <t>00_overview</t>
        </is>
      </c>
      <c r="D22" s="3" t="inlineStr">
        <is>
          <t>[注]公司向海宁市长安城北皮草置业有限公司拆出的资金 639,665.66 元，按照相关协议约定，不计息</t>
        </is>
      </c>
      <c r="E22" s="3" t="inlineStr">
        <is>
          <t>chapter_records</t>
        </is>
      </c>
      <c r="F22" s="3" t="inlineStr">
        <is>
          <t>9 九、关联方及关联交易</t>
        </is>
      </c>
      <c r="G22" s="3" t="inlineStr">
        <is>
          <t>9</t>
        </is>
      </c>
      <c r="H22" s="3" t="inlineStr">
        <is>
          <t>medium</t>
        </is>
      </c>
    </row>
    <row r="23" ht="17.25" customFormat="1" customHeight="1" s="9">
      <c r="A23" s="3" t="inlineStr">
        <is>
          <t>EVD-0019</t>
        </is>
      </c>
      <c r="B23" s="3" t="inlineStr">
        <is>
          <t>chapter_records.10.evidence</t>
        </is>
      </c>
      <c r="C23" s="3" t="inlineStr">
        <is>
          <t>00_overview</t>
        </is>
      </c>
      <c r="D23" s="3" t="inlineStr">
        <is>
          <t># 十、承诺及或有事项 # (一) 为其他单位提供债务担保形成的或有负债及其财务影响 # 1. 公司及子公司为非关联方提供的担保 被担保单位 担保金额（万元） 担保到期日 海宁市兴潮资产运营有限公司 26,110.72 2029-12-31 海宁家纺产业基地投资开发有限公司 3,100.00 2029-12-25 海…</t>
        </is>
      </c>
      <c r="E23" s="3" t="inlineStr">
        <is>
          <t>chapter_records</t>
        </is>
      </c>
      <c r="F23" s="3" t="inlineStr">
        <is>
          <t>10 十、承诺及或有事项</t>
        </is>
      </c>
      <c r="G23" s="3" t="inlineStr">
        <is>
          <t>10</t>
        </is>
      </c>
      <c r="H23" s="3" t="inlineStr">
        <is>
          <t>medium</t>
        </is>
      </c>
    </row>
    <row r="24" ht="17.25" customFormat="1" customHeight="1" s="9">
      <c r="A24" s="3" t="inlineStr">
        <is>
          <t>EVD-0020</t>
        </is>
      </c>
      <c r="B24" s="3" t="inlineStr">
        <is>
          <t>chapter_records.10.evidence</t>
        </is>
      </c>
      <c r="C24" s="3" t="inlineStr">
        <is>
          <t>00_overview</t>
        </is>
      </c>
      <c r="D24" s="3" t="inlineStr">
        <is>
          <t>被担保单位 担保金额（万元） 担保到期日 海宁市兴潮资产运营有限公司 26,110.72 2029-12-31 海宁家纺产业基地投资开发有限公司 3,100.00 2029-12-25 海宁家纺产业基地投资开发有限公司 4,865.00 2029-12-25 海宁市湾芯投资开发有限公司 70,000.00 2027-…</t>
        </is>
      </c>
      <c r="E24" s="3" t="inlineStr">
        <is>
          <t>chapter_records</t>
        </is>
      </c>
      <c r="F24" s="3" t="inlineStr">
        <is>
          <t>10 十、承诺及或有事项</t>
        </is>
      </c>
      <c r="G24" s="3" t="inlineStr">
        <is>
          <t>10</t>
        </is>
      </c>
      <c r="H24" s="3" t="inlineStr">
        <is>
          <t>medium</t>
        </is>
      </c>
    </row>
    <row r="25" ht="17.25" customFormat="1" customHeight="1" s="9">
      <c r="A25" s="3" t="inlineStr">
        <is>
          <t>EVD-0021</t>
        </is>
      </c>
      <c r="B25" s="3" t="inlineStr">
        <is>
          <t>chapter_records.11.evidence</t>
        </is>
      </c>
      <c r="C25" s="3" t="inlineStr">
        <is>
          <t>00_overview</t>
        </is>
      </c>
      <c r="D25" s="3" t="inlineStr">
        <is>
          <t># 十一、母公司财务报表主要项目注释 # (一) 母公司资产负债表项目注释 # 1. 应收账款 # (1) 账龄情况 账龄 期末数 期初数 2-3年 7,449,788.27 3年以上 7,449,788.27 合计 7,449,788.27 7,449,788.27 # (2) 坏账准备计提情况 # 1) 类别明细…</t>
        </is>
      </c>
      <c r="E25" s="3" t="inlineStr">
        <is>
          <t>chapter_records</t>
        </is>
      </c>
      <c r="F25" s="3" t="inlineStr">
        <is>
          <t>11 十一、母公司财务报表主要项目注释</t>
        </is>
      </c>
      <c r="G25" s="3" t="inlineStr">
        <is>
          <t>11</t>
        </is>
      </c>
      <c r="H25" s="3" t="inlineStr">
        <is>
          <t>medium</t>
        </is>
      </c>
    </row>
    <row r="26" ht="17.25" customFormat="1" customHeight="1" s="9">
      <c r="A26" s="3" t="inlineStr">
        <is>
          <t>EVD-0022</t>
        </is>
      </c>
      <c r="B26" s="3" t="inlineStr">
        <is>
          <t>chapter_records.11.evidence</t>
        </is>
      </c>
      <c r="C26" s="3" t="inlineStr">
        <is>
          <t>00_overview</t>
        </is>
      </c>
      <c r="D26" s="3" t="inlineStr">
        <is>
          <t>项目 期末数 期初数 账面余额 减值准备 账面价值 账面余额 减值准备 账面价值 对子公司投资 13,143,341,814.55 13,143,341,814.55 11,143,341,814.55 11,143,341,814.55 合计 13,143,341,814.55 13,143,341,814.55…</t>
        </is>
      </c>
      <c r="E26" s="3" t="inlineStr">
        <is>
          <t>chapter_records</t>
        </is>
      </c>
      <c r="F26" s="3" t="inlineStr">
        <is>
          <t>11 十一、母公司财务报表主要项目注释</t>
        </is>
      </c>
      <c r="G26" s="3" t="inlineStr">
        <is>
          <t>11</t>
        </is>
      </c>
      <c r="H26" s="3" t="inlineStr">
        <is>
          <t>medium</t>
        </is>
      </c>
    </row>
  </sheetData>
  <mergeCells count="1">
    <mergeCell ref="A1:F1"/>
  </mergeCells>
  <pageMargins left="0.25" right="0.25" top="0.3" bottom="0.3" header="0.3" footer="0.3"/>
  <pageSetup orientation="landscape" fitToHeight="1" fitToWidth="1"/>
</worksheet>
</file>

<file path=xl/worksheets/sheet9.xml><?xml version="1.0" encoding="utf-8"?>
<worksheet xmlns="http://schemas.openxmlformats.org/spreadsheetml/2006/main">
  <sheetPr>
    <outlinePr summaryBelow="0"/>
    <pageSetUpPr fitToPage="1"/>
  </sheetPr>
  <dimension ref="A1:D71"/>
  <sheetViews>
    <sheetView workbookViewId="0">
      <selection activeCell="A1" sqref="A1"/>
    </sheetView>
  </sheetViews>
  <sheetFormatPr baseColWidth="8" defaultRowHeight="15"/>
  <cols>
    <col width="34.71928571428572" bestFit="1" customWidth="1" style="11" min="1" max="1"/>
    <col width="18.71928571428571" bestFit="1" customWidth="1" style="30" min="2" max="2"/>
    <col width="12.71928571428571" bestFit="1" customWidth="1" style="11" min="3" max="3"/>
    <col width="36.71928571428572" bestFit="1" customWidth="1" style="11" min="4" max="4"/>
  </cols>
  <sheetData>
    <row r="1" ht="17.25" customHeight="1">
      <c r="A1" s="1" t="inlineStr">
        <is>
          <t>键</t>
        </is>
      </c>
      <c r="B1" s="2" t="inlineStr">
        <is>
          <t>数值</t>
        </is>
      </c>
      <c r="C1" s="1" t="inlineStr">
        <is>
          <t>单位</t>
        </is>
      </c>
      <c r="D1" s="1" t="inlineStr">
        <is>
          <t>说明</t>
        </is>
      </c>
    </row>
    <row r="2" ht="17.25" customHeight="1">
      <c r="A2" s="3" t="inlineStr">
        <is>
          <t>期初有息负债合计</t>
        </is>
      </c>
      <c r="B2" s="4" t="n">
        <v>383.0788006469</v>
      </c>
      <c r="C2" s="3" t="inlineStr">
        <is>
          <t>亿元</t>
        </is>
      </c>
      <c r="D2" s="3" t="inlineStr">
        <is>
          <t>公式辅助输入</t>
        </is>
      </c>
    </row>
    <row r="3" ht="17.25" customHeight="1">
      <c r="A3" s="3" t="inlineStr">
        <is>
          <t>期末有息负债合计</t>
        </is>
      </c>
      <c r="B3" s="4" t="n">
        <v>476.9292795902</v>
      </c>
      <c r="C3" s="3" t="inlineStr">
        <is>
          <t>亿元</t>
        </is>
      </c>
      <c r="D3" s="3" t="inlineStr">
        <is>
          <t>公式辅助输入</t>
        </is>
      </c>
    </row>
    <row r="4" ht="17.25" customHeight="1">
      <c r="A4" s="3" t="inlineStr">
        <is>
          <t>市场相关库存资产</t>
        </is>
      </c>
      <c r="B4" s="4" t="n">
        <v>0.5297904293</v>
      </c>
      <c r="C4" s="3" t="inlineStr">
        <is>
          <t>亿元</t>
        </is>
      </c>
      <c r="D4" s="3" t="inlineStr">
        <is>
          <t>公式辅助输入</t>
        </is>
      </c>
    </row>
    <row r="5" ht="17.25" customHeight="1">
      <c r="A5" s="3" t="inlineStr">
        <is>
          <t>存货总额</t>
        </is>
      </c>
      <c r="B5" s="4" t="n">
        <v>610.3141381583</v>
      </c>
      <c r="C5" s="3" t="inlineStr">
        <is>
          <t>亿元</t>
        </is>
      </c>
      <c r="D5" s="3" t="inlineStr">
        <is>
          <t>公式辅助输入</t>
        </is>
      </c>
    </row>
    <row r="6" ht="17.25" customHeight="1">
      <c r="A6" s="3" t="inlineStr">
        <is>
          <t>库存商品</t>
        </is>
      </c>
      <c r="B6" s="4" t="n">
        <v>0.000478265</v>
      </c>
      <c r="C6" s="3" t="inlineStr">
        <is>
          <t>亿元</t>
        </is>
      </c>
      <c r="D6" s="3" t="inlineStr">
        <is>
          <t>公式辅助输入</t>
        </is>
      </c>
    </row>
    <row r="7" ht="17.25" customHeight="1">
      <c r="A7" s="3" t="inlineStr">
        <is>
          <t>商品房、商业地产</t>
        </is>
      </c>
      <c r="B7" s="4" t="n">
        <v>0.52904071</v>
      </c>
      <c r="C7" s="3" t="inlineStr">
        <is>
          <t>亿元</t>
        </is>
      </c>
      <c r="D7" s="3" t="inlineStr">
        <is>
          <t>公式辅助输入</t>
        </is>
      </c>
    </row>
    <row r="8" ht="17.25" customHeight="1">
      <c r="A8" s="3" t="inlineStr">
        <is>
          <t>应收账款总额</t>
        </is>
      </c>
      <c r="B8" s="4" t="n">
        <v>19.7563573824</v>
      </c>
      <c r="C8" s="3" t="inlineStr">
        <is>
          <t>亿元</t>
        </is>
      </c>
      <c r="D8" s="3" t="inlineStr">
        <is>
          <t>公式辅助输入</t>
        </is>
      </c>
    </row>
    <row r="9" ht="17.25" customHeight="1">
      <c r="A9" s="3" t="inlineStr">
        <is>
          <t>其他应收款总额</t>
        </is>
      </c>
      <c r="B9" s="4" t="n">
        <v>61.0685413299</v>
      </c>
      <c r="C9" s="3" t="inlineStr">
        <is>
          <t>亿元</t>
        </is>
      </c>
      <c r="D9" s="3" t="inlineStr">
        <is>
          <t>公式辅助输入</t>
        </is>
      </c>
    </row>
    <row r="10" ht="17.25" customHeight="1">
      <c r="A10" s="3" t="inlineStr">
        <is>
          <t>预付款项总额</t>
        </is>
      </c>
      <c r="B10" s="4" t="n">
        <v>8.1705178984</v>
      </c>
      <c r="C10" s="3" t="inlineStr">
        <is>
          <t>亿元</t>
        </is>
      </c>
      <c r="D10" s="3" t="inlineStr">
        <is>
          <t>公式辅助输入</t>
        </is>
      </c>
    </row>
    <row r="11" ht="17.25" customHeight="1">
      <c r="A11" s="3" t="inlineStr">
        <is>
          <t>资产总额</t>
        </is>
      </c>
      <c r="B11" s="4" t="n">
        <v>809.9478657888</v>
      </c>
      <c r="C11" s="3" t="inlineStr">
        <is>
          <t>亿元</t>
        </is>
      </c>
      <c r="D11" s="3" t="inlineStr">
        <is>
          <t>合并资产负债表</t>
        </is>
      </c>
    </row>
    <row r="12" ht="17.25" customHeight="1">
      <c r="A12" s="3" t="inlineStr">
        <is>
          <t>负债总额</t>
        </is>
      </c>
      <c r="B12" s="4" t="n">
        <v>530.0038850819</v>
      </c>
      <c r="C12" s="3" t="inlineStr">
        <is>
          <t>亿元</t>
        </is>
      </c>
      <c r="D12" s="3" t="inlineStr">
        <is>
          <t>合并资产负债表</t>
        </is>
      </c>
    </row>
    <row r="13" ht="17.25" customHeight="1">
      <c r="A13" s="3" t="inlineStr">
        <is>
          <t>权益占比</t>
        </is>
      </c>
      <c r="B13" s="4" t="n">
        <v>34.6</v>
      </c>
      <c r="C13" s="3" t="n"/>
      <c r="D13" s="3" t="inlineStr">
        <is>
          <t>合并资产负债表</t>
        </is>
      </c>
    </row>
    <row r="14" ht="17.25" customHeight="1">
      <c r="A14" s="3" t="inlineStr">
        <is>
          <t>流动比率</t>
        </is>
      </c>
      <c r="B14" s="4" t="n">
        <v>5.48</v>
      </c>
      <c r="C14" s="3" t="inlineStr">
        <is>
          <t>x</t>
        </is>
      </c>
      <c r="D14" s="3" t="inlineStr">
        <is>
          <t>资产负债表推算</t>
        </is>
      </c>
    </row>
    <row r="15" ht="17.25" customHeight="1">
      <c r="A15" s="3" t="inlineStr">
        <is>
          <t>现金及现金等价物</t>
        </is>
      </c>
      <c r="B15" s="4" t="n">
        <v>19.175386399</v>
      </c>
      <c r="C15" s="3" t="inlineStr">
        <is>
          <t>亿元</t>
        </is>
      </c>
      <c r="D15" s="3" t="inlineStr">
        <is>
          <t>现金流量表</t>
        </is>
      </c>
    </row>
    <row r="16" ht="17.25" customHeight="1">
      <c r="A16" s="3" t="inlineStr">
        <is>
          <t>现金短债比</t>
        </is>
      </c>
      <c r="B16" s="4" t="n">
        <v>0.28</v>
      </c>
      <c r="C16" s="3" t="inlineStr">
        <is>
          <t>x</t>
        </is>
      </c>
      <c r="D16" s="3" t="inlineStr">
        <is>
          <t>计算指标</t>
        </is>
      </c>
    </row>
    <row r="17" ht="17.25" customHeight="1">
      <c r="A17" s="3" t="inlineStr">
        <is>
          <t>一年内到期债务</t>
        </is>
      </c>
      <c r="B17" s="4" t="n">
        <v>27.0947156237</v>
      </c>
      <c r="C17" s="3" t="inlineStr">
        <is>
          <t>亿元</t>
        </is>
      </c>
      <c r="D17" s="3" t="inlineStr">
        <is>
          <t>长期负债到期结构</t>
        </is>
      </c>
    </row>
    <row r="18" ht="17.25" customHeight="1">
      <c r="A18" s="3" t="inlineStr">
        <is>
          <t>计息负债合计</t>
        </is>
      </c>
      <c r="B18" s="4" t="n">
        <v>476.9292795902</v>
      </c>
      <c r="C18" s="3" t="inlineStr">
        <is>
          <t>亿元</t>
        </is>
      </c>
      <c r="D18" s="3" t="inlineStr">
        <is>
          <t>筹资活动负债变动表</t>
        </is>
      </c>
    </row>
    <row r="19" ht="17.25" customHeight="1">
      <c r="A19" s="3" t="inlineStr">
        <is>
          <t>营业收入</t>
        </is>
      </c>
      <c r="B19" s="4" t="n">
        <v>12.5129022227</v>
      </c>
      <c r="C19" s="3" t="inlineStr">
        <is>
          <t>亿元</t>
        </is>
      </c>
      <c r="D19" s="3" t="inlineStr">
        <is>
          <t>合并利润表</t>
        </is>
      </c>
    </row>
    <row r="20" ht="17.25" customHeight="1">
      <c r="A20" s="3" t="inlineStr">
        <is>
          <t>净利润</t>
        </is>
      </c>
      <c r="B20" s="4" t="n">
        <v>0.8094876796</v>
      </c>
      <c r="C20" s="3" t="inlineStr">
        <is>
          <t>亿元</t>
        </is>
      </c>
      <c r="D20" s="3" t="inlineStr">
        <is>
          <t>合并利润表</t>
        </is>
      </c>
    </row>
    <row r="21" ht="17.25" customHeight="1">
      <c r="A21" s="3" t="inlineStr">
        <is>
          <t>归母净利润</t>
        </is>
      </c>
      <c r="B21" s="4" t="n">
        <v>0.2956894742</v>
      </c>
      <c r="C21" s="3" t="inlineStr">
        <is>
          <t>亿元</t>
        </is>
      </c>
      <c r="D21" s="3" t="inlineStr">
        <is>
          <t>合并利润表</t>
        </is>
      </c>
    </row>
    <row r="22" ht="17.25" customHeight="1">
      <c r="A22" s="3" t="inlineStr">
        <is>
          <t>毛利率</t>
        </is>
      </c>
      <c r="B22" s="4" t="n">
        <v>3.1</v>
      </c>
      <c r="C22" s="3" t="n"/>
      <c r="D22" s="3" t="inlineStr">
        <is>
          <t>收入成本测算</t>
        </is>
      </c>
    </row>
    <row r="23" ht="17.25" customHeight="1">
      <c r="A23" s="3" t="inlineStr">
        <is>
          <t>经营活动现金流净额</t>
        </is>
      </c>
      <c r="B23" s="4" t="n">
        <v>-68.72632970470001</v>
      </c>
      <c r="C23" s="3" t="inlineStr">
        <is>
          <t>亿元</t>
        </is>
      </c>
      <c r="D23" s="3" t="inlineStr">
        <is>
          <t>合并现金流量表</t>
        </is>
      </c>
    </row>
    <row r="24" ht="17.25" customHeight="1">
      <c r="A24" s="3" t="inlineStr">
        <is>
          <t>投资活动现金流净额</t>
        </is>
      </c>
      <c r="B24" s="4" t="n">
        <v>-8.7990375971</v>
      </c>
      <c r="C24" s="3" t="inlineStr">
        <is>
          <t>亿元</t>
        </is>
      </c>
      <c r="D24" s="3" t="inlineStr">
        <is>
          <t>合并现金流量表</t>
        </is>
      </c>
    </row>
    <row r="25" ht="17.25" customHeight="1">
      <c r="A25" s="3" t="inlineStr">
        <is>
          <t>筹资活动现金流净额</t>
        </is>
      </c>
      <c r="B25" s="4" t="n">
        <v>73.8792818543</v>
      </c>
      <c r="C25" s="3" t="inlineStr">
        <is>
          <t>亿元</t>
        </is>
      </c>
      <c r="D25" s="3" t="inlineStr">
        <is>
          <t>合并现金流量表</t>
        </is>
      </c>
    </row>
    <row r="26" ht="17.25" customHeight="1">
      <c r="A26" s="3" t="inlineStr">
        <is>
          <t>受限资金</t>
        </is>
      </c>
      <c r="B26" s="4" t="n">
        <v>1.4373736789</v>
      </c>
      <c r="C26" s="3" t="inlineStr">
        <is>
          <t>亿元</t>
        </is>
      </c>
      <c r="D26" s="3" t="inlineStr">
        <is>
          <t>受限资产注释</t>
        </is>
      </c>
    </row>
    <row r="27" ht="17.25" customHeight="1">
      <c r="A27" s="3" t="inlineStr">
        <is>
          <t>资产总计</t>
        </is>
      </c>
      <c r="B27" s="4" t="n">
        <v>809.9478657888</v>
      </c>
      <c r="C27" s="3" t="inlineStr">
        <is>
          <t>亿元</t>
        </is>
      </c>
      <c r="D27" s="3" t="inlineStr">
        <is>
          <t>资产端继续扩张。</t>
        </is>
      </c>
    </row>
    <row r="28" ht="17.25" customHeight="1">
      <c r="A28" s="3" t="inlineStr">
        <is>
          <t>负债合计</t>
        </is>
      </c>
      <c r="B28" s="4" t="n">
        <v>530.0038850819</v>
      </c>
      <c r="C28" s="3" t="inlineStr">
        <is>
          <t>亿元</t>
        </is>
      </c>
      <c r="D28" s="3" t="inlineStr">
        <is>
          <t>有息负债与往来负债占比高。</t>
        </is>
      </c>
    </row>
    <row r="29" ht="17.25" customHeight="1">
      <c r="A29" s="3" t="inlineStr">
        <is>
          <t>归母所有者权益</t>
        </is>
      </c>
      <c r="B29" s="4" t="n">
        <v>247.8066885576</v>
      </c>
      <c r="C29" s="3" t="inlineStr">
        <is>
          <t>亿元</t>
        </is>
      </c>
      <c r="D29" s="3" t="inlineStr">
        <is>
          <t>资本公积和未分配利润构成主体。</t>
        </is>
      </c>
    </row>
    <row r="30" ht="17.25" customHeight="1">
      <c r="A30" s="3" t="inlineStr">
        <is>
          <t>流动资产合计</t>
        </is>
      </c>
      <c r="B30" s="4" t="n">
        <v>722.1557189289</v>
      </c>
      <c r="C30" s="3" t="inlineStr">
        <is>
          <t>亿元</t>
        </is>
      </c>
      <c r="D30" s="3" t="inlineStr">
        <is>
          <t>流动资产占比极高。</t>
        </is>
      </c>
    </row>
    <row r="31" ht="17.25" customHeight="1">
      <c r="A31" s="3" t="inlineStr">
        <is>
          <t>流动负债合计</t>
        </is>
      </c>
      <c r="B31" s="4" t="n">
        <v>131.8335091465</v>
      </c>
      <c r="C31" s="3" t="inlineStr">
        <is>
          <t>亿元</t>
        </is>
      </c>
      <c r="D31" s="3" t="inlineStr">
        <is>
          <t>一年内到期债务压力仍然存在。</t>
        </is>
      </c>
    </row>
    <row r="32" ht="17.25" customHeight="1">
      <c r="A32" s="3" t="inlineStr">
        <is>
          <t>营业收入</t>
        </is>
      </c>
      <c r="B32" s="4" t="n">
        <v>12.5129022227</v>
      </c>
      <c r="C32" s="3" t="inlineStr">
        <is>
          <t>亿元</t>
        </is>
      </c>
      <c r="D32" s="3" t="inlineStr">
        <is>
          <t>同比增长。</t>
        </is>
      </c>
    </row>
    <row r="33" ht="17.25" customHeight="1">
      <c r="A33" s="3" t="inlineStr">
        <is>
          <t>营业成本</t>
        </is>
      </c>
      <c r="B33" s="4" t="n">
        <v>12.1200473774</v>
      </c>
      <c r="C33" s="3" t="inlineStr">
        <is>
          <t>亿元</t>
        </is>
      </c>
      <c r="D33" s="3" t="inlineStr">
        <is>
          <t>成本接近收入。</t>
        </is>
      </c>
    </row>
    <row r="34" ht="17.25" customHeight="1">
      <c r="A34" s="3" t="inlineStr">
        <is>
          <t>营业利润</t>
        </is>
      </c>
      <c r="B34" s="4" t="n">
        <v>0.9171704711000001</v>
      </c>
      <c r="C34" s="3" t="inlineStr">
        <is>
          <t>亿元</t>
        </is>
      </c>
      <c r="D34" s="3" t="inlineStr">
        <is>
          <t>主业盈利但空间较薄。</t>
        </is>
      </c>
    </row>
    <row r="35" ht="17.25" customHeight="1">
      <c r="A35" s="3" t="inlineStr">
        <is>
          <t>净利润</t>
        </is>
      </c>
      <c r="B35" s="4" t="n">
        <v>0.8094876796</v>
      </c>
      <c r="C35" s="3" t="inlineStr">
        <is>
          <t>亿元</t>
        </is>
      </c>
      <c r="D35" s="3" t="inlineStr">
        <is>
          <t>利润主要受补助和资产处置影响。</t>
        </is>
      </c>
    </row>
    <row r="36" ht="17.25" customHeight="1">
      <c r="A36" s="3" t="inlineStr">
        <is>
          <t>归母净利润</t>
        </is>
      </c>
      <c r="B36" s="4" t="n">
        <v>0.2956894742</v>
      </c>
      <c r="C36" s="3" t="inlineStr">
        <is>
          <t>亿元</t>
        </is>
      </c>
      <c r="D36" s="3" t="inlineStr">
        <is>
          <t>少数股东损益占比较高。</t>
        </is>
      </c>
    </row>
    <row r="37" ht="17.25" customHeight="1">
      <c r="A37" s="3" t="inlineStr">
        <is>
          <t>经营活动现金流净额</t>
        </is>
      </c>
      <c r="B37" s="4" t="n">
        <v>-68.72632970470001</v>
      </c>
      <c r="C37" s="3" t="inlineStr">
        <is>
          <t>亿元</t>
        </is>
      </c>
      <c r="D37" s="3" t="inlineStr">
        <is>
          <t>经营造血能力偏弱。</t>
        </is>
      </c>
    </row>
    <row r="38" ht="17.25" customHeight="1">
      <c r="A38" s="3" t="inlineStr">
        <is>
          <t>投资活动现金流净额</t>
        </is>
      </c>
      <c r="B38" s="4" t="n">
        <v>-8.7990375971</v>
      </c>
      <c r="C38" s="3" t="inlineStr">
        <is>
          <t>亿元</t>
        </is>
      </c>
      <c r="D38" s="3" t="inlineStr">
        <is>
          <t>继续投入项目和股权。</t>
        </is>
      </c>
    </row>
    <row r="39" ht="17.25" customHeight="1">
      <c r="A39" s="3" t="inlineStr">
        <is>
          <t>筹资活动现金流净额</t>
        </is>
      </c>
      <c r="B39" s="4" t="n">
        <v>73.8792818543</v>
      </c>
      <c r="C39" s="3" t="inlineStr">
        <is>
          <t>亿元</t>
        </is>
      </c>
      <c r="D39" s="3" t="inlineStr">
        <is>
          <t>融资补流特征明显。</t>
        </is>
      </c>
    </row>
    <row r="40" ht="17.25" customHeight="1">
      <c r="A40" s="3" t="inlineStr">
        <is>
          <t>期末现金及现金等价物</t>
        </is>
      </c>
      <c r="B40" s="4" t="n">
        <v>19.175386399</v>
      </c>
      <c r="C40" s="3" t="inlineStr">
        <is>
          <t>亿元</t>
        </is>
      </c>
      <c r="D40" s="3" t="inlineStr">
        <is>
          <t>剔除受限资金后缓冲有限。</t>
        </is>
      </c>
    </row>
    <row r="41" ht="17.25" customHeight="1">
      <c r="A41" s="3" t="inlineStr">
        <is>
          <t>计息负债合计</t>
        </is>
      </c>
      <c r="B41" s="4" t="n">
        <v>476.9292795902</v>
      </c>
      <c r="C41" s="3" t="inlineStr">
        <is>
          <t>亿元</t>
        </is>
      </c>
      <c r="D41" s="3" t="inlineStr">
        <is>
          <t>含借款、债券、租赁负债与长期应付款。</t>
        </is>
      </c>
    </row>
    <row r="42" ht="17.25" customHeight="1">
      <c r="A42" s="3" t="inlineStr">
        <is>
          <t>短期借款</t>
        </is>
      </c>
      <c r="B42" s="4" t="n">
        <v>67.44084848280001</v>
      </c>
      <c r="C42" s="3" t="inlineStr">
        <is>
          <t>亿元</t>
        </is>
      </c>
      <c r="D42" s="3" t="inlineStr">
        <is>
          <t>保证借款占主导。</t>
        </is>
      </c>
    </row>
    <row r="43" ht="17.25" customHeight="1">
      <c r="A43" s="3" t="inlineStr">
        <is>
          <t>一年内到期非流动负债</t>
        </is>
      </c>
      <c r="B43" s="4" t="n">
        <v>27.0947156237</v>
      </c>
      <c r="C43" s="3" t="inlineStr">
        <is>
          <t>亿元</t>
        </is>
      </c>
      <c r="D43" s="3" t="inlineStr">
        <is>
          <t>短期化压力较明显。</t>
        </is>
      </c>
    </row>
    <row r="44" ht="17.25" customHeight="1">
      <c r="A44" s="3" t="inlineStr">
        <is>
          <t>应付债券</t>
        </is>
      </c>
      <c r="B44" s="4" t="n">
        <v>79.144959035</v>
      </c>
      <c r="C44" s="3" t="inlineStr">
        <is>
          <t>亿元</t>
        </is>
      </c>
      <c r="D44" s="3" t="inlineStr">
        <is>
          <t>境内外债券并行。</t>
        </is>
      </c>
    </row>
    <row r="45" ht="17.25" customHeight="1">
      <c r="A45" s="3" t="inlineStr">
        <is>
          <t>1年内</t>
        </is>
      </c>
      <c r="B45" s="4" t="n">
        <v>2709471562.37</v>
      </c>
      <c r="C45" s="3" t="inlineStr">
        <is>
          <t>元</t>
        </is>
      </c>
      <c r="D45" s="3" t="inlineStr">
        <is>
          <t>到期压力较高。</t>
        </is>
      </c>
    </row>
    <row r="46" ht="17.25" customHeight="1">
      <c r="A46" s="3" t="inlineStr">
        <is>
          <t>1-3年</t>
        </is>
      </c>
      <c r="B46" s="4" t="n">
        <v>0</v>
      </c>
      <c r="C46" s="3" t="inlineStr">
        <is>
          <t>元</t>
        </is>
      </c>
      <c r="D46" s="3" t="inlineStr">
        <is>
          <t>按现有披露口径难以直接拆分。</t>
        </is>
      </c>
    </row>
    <row r="47" ht="17.25" customHeight="1">
      <c r="A47" s="3" t="inlineStr">
        <is>
          <t>3年以上</t>
        </is>
      </c>
      <c r="B47" s="4" t="n">
        <v>0</v>
      </c>
      <c r="C47" s="3" t="inlineStr">
        <is>
          <t>元</t>
        </is>
      </c>
      <c r="D47" s="3" t="inlineStr">
        <is>
          <t>由债券与借款滚动形成。</t>
        </is>
      </c>
    </row>
    <row r="48" ht="17.25" customHeight="1">
      <c r="A48" s="3" t="inlineStr">
        <is>
          <t>银行及担保借款</t>
        </is>
      </c>
      <c r="B48" s="4" t="n">
        <v>72.3</v>
      </c>
      <c r="C48" s="3" t="n"/>
      <c r="D48" s="3" t="inlineStr">
        <is>
          <t>仍是融资主轴。</t>
        </is>
      </c>
    </row>
    <row r="49" ht="17.25" customHeight="1">
      <c r="A49" s="3" t="inlineStr">
        <is>
          <t>债券融资</t>
        </is>
      </c>
      <c r="B49" s="4" t="n">
        <v>16.6</v>
      </c>
      <c r="C49" s="3" t="n"/>
      <c r="D49" s="3" t="inlineStr">
        <is>
          <t>资本市场融资占比高。</t>
        </is>
      </c>
    </row>
    <row r="50" ht="17.25" customHeight="1">
      <c r="A50" s="3" t="inlineStr">
        <is>
          <t>其他融资</t>
        </is>
      </c>
      <c r="B50" s="4" t="n">
        <v>11.1</v>
      </c>
      <c r="C50" s="3" t="n"/>
      <c r="D50" s="3" t="inlineStr">
        <is>
          <t>包含租赁和长期应付款。</t>
        </is>
      </c>
    </row>
    <row r="51" ht="17.25" customHeight="1">
      <c r="A51" s="3" t="inlineStr">
        <is>
          <t>利息支出</t>
        </is>
      </c>
      <c r="B51" s="4" t="n">
        <v>3.1247382171</v>
      </c>
      <c r="C51" s="3" t="inlineStr">
        <is>
          <t>亿元</t>
        </is>
      </c>
      <c r="D51" s="3" t="inlineStr">
        <is>
          <t>财务费用压力较大。</t>
        </is>
      </c>
    </row>
    <row r="52" ht="17.25" customHeight="1">
      <c r="A52" s="3" t="inlineStr">
        <is>
          <t>债务平均利率</t>
        </is>
      </c>
      <c r="B52" s="4" t="n">
        <v>7.27</v>
      </c>
      <c r="C52" s="3" t="n"/>
      <c r="D52" s="3" t="inlineStr">
        <is>
          <t>按期初期末平均有息负债与利息支出测算。</t>
        </is>
      </c>
    </row>
    <row r="53" ht="17.25" customHeight="1">
      <c r="A53" s="3" t="inlineStr">
        <is>
          <t>财务费用</t>
        </is>
      </c>
      <c r="B53" s="4" t="n">
        <v>3.0921103442</v>
      </c>
      <c r="C53" s="3" t="inlineStr">
        <is>
          <t>亿元</t>
        </is>
      </c>
      <c r="D53" s="3" t="inlineStr">
        <is>
          <t>财务费用注释</t>
        </is>
      </c>
    </row>
    <row r="54" ht="17.25" customHeight="1">
      <c r="A54" s="3" t="inlineStr">
        <is>
          <t>利息支出</t>
        </is>
      </c>
      <c r="B54" s="4" t="n">
        <v>3.1247382171</v>
      </c>
      <c r="C54" s="3" t="inlineStr">
        <is>
          <t>亿元</t>
        </is>
      </c>
      <c r="D54" s="3" t="inlineStr">
        <is>
          <t>财务费用注释</t>
        </is>
      </c>
    </row>
    <row r="55" ht="17.25" customHeight="1">
      <c r="A55" s="3" t="inlineStr">
        <is>
          <t>利息收入</t>
        </is>
      </c>
      <c r="B55" s="4" t="n">
        <v>0.1294099041</v>
      </c>
      <c r="C55" s="3" t="inlineStr">
        <is>
          <t>亿元</t>
        </is>
      </c>
      <c r="D55" s="3" t="inlineStr">
        <is>
          <t>财务费用注释</t>
        </is>
      </c>
    </row>
    <row r="56" ht="17.25" customHeight="1">
      <c r="A56" s="3" t="inlineStr">
        <is>
          <t>净利息负担</t>
        </is>
      </c>
      <c r="B56" s="4" t="n">
        <v>2.995328313</v>
      </c>
      <c r="C56" s="3" t="inlineStr">
        <is>
          <t>亿元</t>
        </is>
      </c>
      <c r="D56" s="3" t="inlineStr">
        <is>
          <t>财务费用注释测算</t>
        </is>
      </c>
    </row>
    <row r="57" ht="17.25" customHeight="1">
      <c r="A57" s="3" t="inlineStr">
        <is>
          <t>财务费用/营业收入</t>
        </is>
      </c>
      <c r="B57" s="4" t="n">
        <v>24.72</v>
      </c>
      <c r="C57" s="3" t="n"/>
      <c r="D57" s="3" t="inlineStr">
        <is>
          <t>收入与费用测算</t>
        </is>
      </c>
    </row>
    <row r="58" ht="17.25" customHeight="1">
      <c r="A58" s="3" t="inlineStr">
        <is>
          <t>利息支出/平均有息负债</t>
        </is>
      </c>
      <c r="B58" s="4" t="n">
        <v>7.27</v>
      </c>
      <c r="C58" s="3" t="n"/>
      <c r="D58" s="3" t="inlineStr">
        <is>
          <t>按期初期末平均有息负债测算</t>
        </is>
      </c>
    </row>
    <row r="59" ht="17.25" customHeight="1">
      <c r="A59" s="3" t="inlineStr">
        <is>
          <t>存货总额</t>
        </is>
      </c>
      <c r="B59" s="4" t="n">
        <v>610.3141381583</v>
      </c>
      <c r="C59" s="3" t="inlineStr">
        <is>
          <t>亿元</t>
        </is>
      </c>
      <c r="D59" s="3" t="inlineStr">
        <is>
          <t>存货注释</t>
        </is>
      </c>
    </row>
    <row r="60" ht="17.25" customHeight="1">
      <c r="A60" s="3" t="inlineStr">
        <is>
          <t>政府相关库存资产</t>
        </is>
      </c>
      <c r="B60" s="4" t="n">
        <v>609.784347729</v>
      </c>
      <c r="C60" s="3" t="inlineStr">
        <is>
          <t>亿元</t>
        </is>
      </c>
      <c r="D60" s="3" t="inlineStr">
        <is>
          <t>按项目拆分</t>
        </is>
      </c>
    </row>
    <row r="61" ht="17.25" customHeight="1">
      <c r="A61" s="3" t="inlineStr">
        <is>
          <t>市场相关库存资产</t>
        </is>
      </c>
      <c r="B61" s="4" t="n">
        <v>0.5297904293</v>
      </c>
      <c r="C61" s="3" t="inlineStr">
        <is>
          <t>亿元</t>
        </is>
      </c>
      <c r="D61" s="3" t="inlineStr">
        <is>
          <t>按项目拆分</t>
        </is>
      </c>
    </row>
    <row r="62" ht="17.25" customHeight="1">
      <c r="A62" s="3" t="inlineStr">
        <is>
          <t>政府相关库存占比</t>
        </is>
      </c>
      <c r="B62" s="4" t="n">
        <v>99.91</v>
      </c>
      <c r="C62" s="3" t="n"/>
      <c r="D62" s="3" t="inlineStr">
        <is>
          <t>按项目拆分</t>
        </is>
      </c>
    </row>
    <row r="63" ht="17.25" customHeight="1">
      <c r="A63" s="3" t="inlineStr">
        <is>
          <t>土地一级开发</t>
        </is>
      </c>
      <c r="B63" s="4" t="n">
        <v>401.2110889997</v>
      </c>
      <c r="C63" s="3" t="inlineStr">
        <is>
          <t>亿元</t>
        </is>
      </c>
      <c r="D63" s="3" t="inlineStr">
        <is>
          <t>开发成本拆分</t>
        </is>
      </c>
    </row>
    <row r="64" ht="17.25" customHeight="1">
      <c r="A64" s="3" t="inlineStr">
        <is>
          <t>代建项目</t>
        </is>
      </c>
      <c r="B64" s="4" t="n">
        <v>135.4280622742</v>
      </c>
      <c r="C64" s="3" t="inlineStr">
        <is>
          <t>亿元</t>
        </is>
      </c>
      <c r="D64" s="3" t="inlineStr">
        <is>
          <t>开发成本拆分</t>
        </is>
      </c>
    </row>
    <row r="65" ht="17.25" customHeight="1">
      <c r="A65" s="3" t="inlineStr">
        <is>
          <t>保障安置房成本</t>
        </is>
      </c>
      <c r="B65" s="4" t="n">
        <v>23.282794117</v>
      </c>
      <c r="C65" s="3" t="inlineStr">
        <is>
          <t>亿元</t>
        </is>
      </c>
      <c r="D65" s="3" t="inlineStr">
        <is>
          <t>开发成本拆分</t>
        </is>
      </c>
    </row>
    <row r="66" ht="17.25" customHeight="1">
      <c r="A66" s="3" t="inlineStr">
        <is>
          <t>应收账款政府组合</t>
        </is>
      </c>
      <c r="B66" s="4" t="n">
        <v>16.0071379729</v>
      </c>
      <c r="C66" s="3" t="inlineStr">
        <is>
          <t>亿元</t>
        </is>
      </c>
      <c r="D66" s="3" t="inlineStr">
        <is>
          <t>应收账款组合</t>
        </is>
      </c>
    </row>
    <row r="67" ht="17.25" customHeight="1">
      <c r="A67" s="3" t="inlineStr">
        <is>
          <t>应收账款政府组合占比</t>
        </is>
      </c>
      <c r="B67" s="4" t="n">
        <v>81.75</v>
      </c>
      <c r="C67" s="3" t="n"/>
      <c r="D67" s="3" t="inlineStr">
        <is>
          <t>应收账款组合</t>
        </is>
      </c>
    </row>
    <row r="68" ht="17.25" customHeight="1">
      <c r="A68" s="3" t="inlineStr">
        <is>
          <t>其他应收款政府组合</t>
        </is>
      </c>
      <c r="B68" s="4" t="n">
        <v>34.8657445039</v>
      </c>
      <c r="C68" s="3" t="inlineStr">
        <is>
          <t>亿元</t>
        </is>
      </c>
      <c r="D68" s="3" t="inlineStr">
        <is>
          <t>其他应收款组合</t>
        </is>
      </c>
    </row>
    <row r="69" ht="17.25" customHeight="1">
      <c r="A69" s="3" t="inlineStr">
        <is>
          <t>其他应收款政府组合占比</t>
        </is>
      </c>
      <c r="B69" s="4" t="n">
        <v>57.11</v>
      </c>
      <c r="C69" s="3" t="n"/>
      <c r="D69" s="3" t="inlineStr">
        <is>
          <t>其他应收款组合</t>
        </is>
      </c>
    </row>
    <row r="70" ht="17.25" customHeight="1">
      <c r="A70" s="3" t="inlineStr">
        <is>
          <t>预付款项政府对象</t>
        </is>
      </c>
      <c r="B70" s="4" t="n">
        <v>4.726334991</v>
      </c>
      <c r="C70" s="3" t="inlineStr">
        <is>
          <t>亿元</t>
        </is>
      </c>
      <c r="D70" s="3" t="inlineStr">
        <is>
          <t>预付款项前五名</t>
        </is>
      </c>
    </row>
    <row r="71" ht="17.25" customHeight="1">
      <c r="A71" s="3" t="inlineStr">
        <is>
          <t>预付款项政府对象占比</t>
        </is>
      </c>
      <c r="B71" s="4" t="n">
        <v>57.85</v>
      </c>
      <c r="C71" s="3" t="n"/>
      <c r="D71" s="3" t="inlineStr">
        <is>
          <t>预付款项前五名</t>
        </is>
      </c>
    </row>
  </sheetData>
  <pageMargins left="0.25" right="0.25" top="0.3" bottom="0.3" header="0.3" footer="0.3"/>
  <pageSetup orientation="landscape"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2026-04-06T06:40:18Z</dcterms:created>
  <dcterms:modified xsi:type="dcterms:W3CDTF">2026-04-06T07:21:03Z</dcterms:modified>
</cp:coreProperties>
</file>