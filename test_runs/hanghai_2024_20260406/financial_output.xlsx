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00_overview"/>
    <sheet r:id="rId2" sheetId="2" name="01_kpi_dashboard"/>
    <sheet r:id="rId3" sheetId="3" name="02_financial_summary"/>
    <sheet r:id="rId4" sheetId="4" name="03_debt_profile"/>
    <sheet r:id="rId5" sheetId="5" name="04_liquidity_and_covenants"/>
    <sheet r:id="rId6" sheetId="6" name="05_financing_cost"/>
    <sheet r:id="rId7" sheetId="7" name="06_platform_special"/>
    <sheet r:id="rId8" sheetId="8" name="99_evidence_index"/>
    <sheet r:id="rId9" sheetId="9" name="RAW_INPUTS"/>
  </sheets>
  <calcPr fullCalcOnLoad="1"/>
</workbook>
</file>

<file path=xl/sharedStrings.xml><?xml version="1.0" encoding="utf-8"?>
<sst xmlns="http://schemas.openxmlformats.org/spreadsheetml/2006/main" count="922" uniqueCount="344">
  <si>
    <t>键</t>
  </si>
  <si>
    <t>数值</t>
  </si>
  <si>
    <t>单位</t>
  </si>
  <si>
    <t>说明</t>
  </si>
  <si>
    <t>期初有息负债合计</t>
  </si>
  <si>
    <t>亿元</t>
  </si>
  <si>
    <t>公式辅助输入</t>
  </si>
  <si>
    <t>期末有息负债合计</t>
  </si>
  <si>
    <t>市场相关库存资产</t>
  </si>
  <si>
    <t>存货总额</t>
  </si>
  <si>
    <t>库存商品</t>
  </si>
  <si>
    <t>商品房、商业地产</t>
  </si>
  <si>
    <t>应收账款总额</t>
  </si>
  <si>
    <t>其他应收款总额</t>
  </si>
  <si>
    <t>预付款项总额</t>
  </si>
  <si>
    <t>资产总额</t>
  </si>
  <si>
    <t>合并资产负债表</t>
  </si>
  <si>
    <t>负债总额</t>
  </si>
  <si>
    <t>权益占比</t>
  </si>
  <si>
    <t>流动比率</t>
  </si>
  <si>
    <t>x</t>
  </si>
  <si>
    <t>资产负债表推算</t>
  </si>
  <si>
    <t>现金及现金等价物</t>
  </si>
  <si>
    <t>现金流量表</t>
  </si>
  <si>
    <t>现金短债比</t>
  </si>
  <si>
    <t>计算指标</t>
  </si>
  <si>
    <t>一年内到期债务</t>
  </si>
  <si>
    <t>长期负债到期结构</t>
  </si>
  <si>
    <t>计息负债合计</t>
  </si>
  <si>
    <t>筹资活动负债变动表</t>
  </si>
  <si>
    <t>营业收入</t>
  </si>
  <si>
    <t>合并利润表</t>
  </si>
  <si>
    <t>净利润</t>
  </si>
  <si>
    <t>归母净利润</t>
  </si>
  <si>
    <t>毛利率</t>
  </si>
  <si>
    <t>收入成本测算</t>
  </si>
  <si>
    <t>经营活动现金流净额</t>
  </si>
  <si>
    <t>合并现金流量表</t>
  </si>
  <si>
    <t>投资活动现金流净额</t>
  </si>
  <si>
    <t>筹资活动现金流净额</t>
  </si>
  <si>
    <t>受限资金</t>
  </si>
  <si>
    <t>受限资产注释</t>
  </si>
  <si>
    <t>资产总计</t>
  </si>
  <si>
    <t>资产端继续扩张。</t>
  </si>
  <si>
    <t>负债合计</t>
  </si>
  <si>
    <t>有息负债与往来负债占比高。</t>
  </si>
  <si>
    <t>归母所有者权益</t>
  </si>
  <si>
    <t>资本公积和未分配利润构成主体。</t>
  </si>
  <si>
    <t>流动资产合计</t>
  </si>
  <si>
    <t>流动资产占比极高。</t>
  </si>
  <si>
    <t>流动负债合计</t>
  </si>
  <si>
    <t>一年内到期债务压力仍然存在。</t>
  </si>
  <si>
    <t>同比增长。</t>
  </si>
  <si>
    <t>营业成本</t>
  </si>
  <si>
    <t>成本接近收入。</t>
  </si>
  <si>
    <t>营业利润</t>
  </si>
  <si>
    <t>主业盈利但空间较薄。</t>
  </si>
  <si>
    <t>利润主要受补助和资产处置影响。</t>
  </si>
  <si>
    <t>少数股东损益占比较高。</t>
  </si>
  <si>
    <t>经营造血能力偏弱。</t>
  </si>
  <si>
    <t>继续投入项目和股权。</t>
  </si>
  <si>
    <t>融资补流特征明显。</t>
  </si>
  <si>
    <t>期末现金及现金等价物</t>
  </si>
  <si>
    <t>剔除受限资金后缓冲有限。</t>
  </si>
  <si>
    <t>含借款、债券、租赁负债与长期应付款。</t>
  </si>
  <si>
    <t>短期借款</t>
  </si>
  <si>
    <t>保证借款占主导。</t>
  </si>
  <si>
    <t>一年内到期非流动负债</t>
  </si>
  <si>
    <t>短期化压力较明显。</t>
  </si>
  <si>
    <t>应付债券</t>
  </si>
  <si>
    <t>境内外债券并行。</t>
  </si>
  <si>
    <t>1年内</t>
  </si>
  <si>
    <t>元</t>
  </si>
  <si>
    <t>到期压力较高。</t>
  </si>
  <si>
    <t>1-3年</t>
  </si>
  <si>
    <t>按现有披露口径难以直接拆分。</t>
  </si>
  <si>
    <t>3年以上</t>
  </si>
  <si>
    <t>由债券与借款滚动形成。</t>
  </si>
  <si>
    <t>银行及担保借款</t>
  </si>
  <si>
    <t>仍是融资主轴。</t>
  </si>
  <si>
    <t>债券融资</t>
  </si>
  <si>
    <t>资本市场融资占比高。</t>
  </si>
  <si>
    <t>其他融资</t>
  </si>
  <si>
    <t>包含租赁和长期应付款。</t>
  </si>
  <si>
    <t>利息支出</t>
  </si>
  <si>
    <t>财务费用压力较大。</t>
  </si>
  <si>
    <t>债务平均利率</t>
  </si>
  <si>
    <t>按期初期末平均有息负债与利息支出测算。</t>
  </si>
  <si>
    <t>财务费用</t>
  </si>
  <si>
    <t>财务费用注释</t>
  </si>
  <si>
    <t>利息收入</t>
  </si>
  <si>
    <t>净利息负担</t>
  </si>
  <si>
    <t>财务费用注释测算</t>
  </si>
  <si>
    <t>财务费用/营业收入</t>
  </si>
  <si>
    <t>收入与费用测算</t>
  </si>
  <si>
    <t>利息支出/平均有息负债</t>
  </si>
  <si>
    <t>按期初期末平均有息负债测算</t>
  </si>
  <si>
    <t>存货注释</t>
  </si>
  <si>
    <t>政府相关库存资产</t>
  </si>
  <si>
    <t>按项目拆分</t>
  </si>
  <si>
    <t>政府相关库存占比</t>
  </si>
  <si>
    <t>土地一级开发</t>
  </si>
  <si>
    <t>开发成本拆分</t>
  </si>
  <si>
    <t>代建项目</t>
  </si>
  <si>
    <t>保障安置房成本</t>
  </si>
  <si>
    <t>应收账款政府组合</t>
  </si>
  <si>
    <t>应收账款组合</t>
  </si>
  <si>
    <t>应收账款政府组合占比</t>
  </si>
  <si>
    <t>其他应收款政府组合</t>
  </si>
  <si>
    <t>其他应收款组合</t>
  </si>
  <si>
    <t>其他应收款政府组合占比</t>
  </si>
  <si>
    <t>预付款项政府对象</t>
  </si>
  <si>
    <t>预付款项前五名</t>
  </si>
  <si>
    <t>预付款项政府对象占比</t>
  </si>
  <si>
    <t>Evidence Index</t>
  </si>
  <si>
    <t>固定骨架模块 99</t>
  </si>
  <si>
    <t>证据ID</t>
  </si>
  <si>
    <t>字段路径</t>
  </si>
  <si>
    <t>Sheet</t>
  </si>
  <si>
    <t>证据片段</t>
  </si>
  <si>
    <t>文档</t>
  </si>
  <si>
    <t>章节</t>
  </si>
  <si>
    <t>附注</t>
  </si>
  <si>
    <t>置信度</t>
  </si>
  <si>
    <t>EVD-0001</t>
  </si>
  <si>
    <t>chapter_records.1.evidence</t>
  </si>
  <si>
    <t>00_overview</t>
  </si>
  <si>
    <t># 一、公司基本情况 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t>
  </si>
  <si>
    <t>chapter_records</t>
  </si>
  <si>
    <t>1 一、公司基本情况</t>
  </si>
  <si>
    <t>1</t>
  </si>
  <si>
    <t>medium</t>
  </si>
  <si>
    <t>EVD-0002</t>
  </si>
  <si>
    <t>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日在海宁市市场监督管理局登记注册。经历次增资及股权转让，公司股东变更为海宁市人民政府国有…</t>
  </si>
  <si>
    <t>EVD-0003</t>
  </si>
  <si>
    <t>chapter_records.2.evidence</t>
  </si>
  <si>
    <t># 二、财务报表的编制基础 # (一) 编制基础 本公司财务报表以持续经营为编制基础；# (二) 持续经营能力评价 本公司不存在导致对报告期末起 12个月内的持续经营能力产生重大疑虑的事项或情况</t>
  </si>
  <si>
    <t>2 二、财务报表的编制基础</t>
  </si>
  <si>
    <t>2</t>
  </si>
  <si>
    <t>EVD-0004</t>
  </si>
  <si>
    <t>本公司不存在导致对报告期末起 12个月内的持续经营能力产生重大疑虑的事项或情况。</t>
  </si>
  <si>
    <t>EVD-0005</t>
  </si>
  <si>
    <t>chapter_records.3.evidence</t>
  </si>
  <si>
    <t># 三、重要会计政策和会计估计 # (一) 遵循企业会计准则的声明 本财务报表符合企业会计准则的要求，真实、完整地反映了企业的财务状况、经营成果和现金流量等有关信息；# (二) 会计期间 会计年度自公历 1 月 1 日起至 12 月 31 日止</t>
  </si>
  <si>
    <t>3 三、重要会计政策和会计估计</t>
  </si>
  <si>
    <t>3</t>
  </si>
  <si>
    <t>EVD-0006</t>
  </si>
  <si>
    <t>[注]根据海宁市人民政府《关于印发海宁市主要污染物排污权总量指标管理办法（试行）的通知》(海政发〔2017〕54 号)有关精神，公司取得的排污权可永久性使用，故无需进行摊销</t>
  </si>
  <si>
    <t>EVD-0007</t>
  </si>
  <si>
    <t>chapter_records.4.evidence</t>
  </si>
  <si>
    <t># 四、税（费）项 # (一) 主要税种及税率 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t>
  </si>
  <si>
    <t>4 四、税（费）项</t>
  </si>
  <si>
    <t>4</t>
  </si>
  <si>
    <t>EVD-0008</t>
  </si>
  <si>
    <t>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 1.2%、12% 城市维护建设税 实际缴纳的流转…</t>
  </si>
  <si>
    <t>EVD-0009</t>
  </si>
  <si>
    <t>chapter_records.5.evidence</t>
  </si>
  <si>
    <t># 五、合并财务报表项目注释 # (一) 合并资产负债表项目注释 # 1. 货币资金 # (1) 明细情况 项目 期末数 期初数 库存现金 7,953.43 26,404.10 银行存款 1,917,588,357.41 2,288,119,772.34 其他货币资金 143,679,696.95 114,916,2…</t>
  </si>
  <si>
    <t>5 五、合并财务报表项目注释</t>
  </si>
  <si>
    <t>5</t>
  </si>
  <si>
    <t>EVD-0010</t>
  </si>
  <si>
    <t>项目名称 期末数 期初数 土地一级开发项目 40,121,108,899.97 32,972,588,134.89 代建项目 13,542,806,227.42 12,618,894,844.40 保障安置房 2,328,279,411.70 2,220,168,821.39 小计 55,992,194,539.09…</t>
  </si>
  <si>
    <t>EVD-0011</t>
  </si>
  <si>
    <t>chapter_records.6.evidence</t>
  </si>
  <si>
    <t># 六、在其他主体中的权益 # (一) 企业集团的构成 1. 公司将下述子公司纳入合并财务报表范围 序号 子公司全称 子公司类型 子公司简称 1 海宁仰山实业集团有限公司 全资子公司 仰山实业 1-1 海宁仰山资产管理有限公司 仰山实业之全资子公司 仰山资产 1-2 海宁仰山开发建设有限公司 仰山实业之全资子公司 仰…</t>
  </si>
  <si>
    <t>6 六、在其他主体中的权益</t>
  </si>
  <si>
    <t>6</t>
  </si>
  <si>
    <t>EVD-0012</t>
  </si>
  <si>
    <t>宁市周王庙镇博儒股份经济合作社、海宁市周王庙镇云龙股份经济合作社、海宁市周王庙镇长春股份经济合作社、海宁市周王庙镇星火股份经济合作社、海宁市周王庙镇上林股份经济合作社共同出资设立梓盛产业。梓盛产业注册资本 186,789,952.11 元，其中钱塘新农村认缴 65,819,952.11 元，认缴比例 $3 5 . 2…</t>
  </si>
  <si>
    <t>EVD-0013</t>
  </si>
  <si>
    <t>chapter_records.7.evidence</t>
  </si>
  <si>
    <t># 七、政府补助 # (一) 本期新增的政府补助情况 项目 本期数 上年同期数 与资产相关的政府补助 其中:计入其他收益 与收益相关的政府补助 661,826,694.70 460,815,127.43 其中:计入其他收益 661,826,694.70 460,815,127.43 财政贴息 60,000,000.0…</t>
  </si>
  <si>
    <t>7 七、政府补助</t>
  </si>
  <si>
    <t>7</t>
  </si>
  <si>
    <t>EVD-0014</t>
  </si>
  <si>
    <t>项目 本期数 上年同期数 与资产相关的政府补助 其中:计入其他收益 与收益相关的政府补助 661,826,694.70 460,815,127.43 其中:计入其他收益 661,826,694.70 460,815,127.43 财政贴息 60,000,000.00 其中:冲减财务费用 60,000,000.00 合…</t>
  </si>
  <si>
    <t>EVD-0015</t>
  </si>
  <si>
    <t>chapter_records.8.evidence</t>
  </si>
  <si>
    <t># 八、公允价值的披露 项目 期末公允价值[注] 第一层次公允价值计量 第二层次公允价值计量 第三层次公允价值计量 合计 持续的公允价值计量 1．交易性金融资产和其他非流动金融资产 10,060,000.00 457,000,000.00 467,060,000.00 (1)分类为以公允价值计量且其变动计入当期损益的…</t>
  </si>
  <si>
    <t>8 八、公允价值的披露</t>
  </si>
  <si>
    <t>8</t>
  </si>
  <si>
    <t>EVD-0016</t>
  </si>
  <si>
    <t>(2) 持续第二层次公允价值计量项目，公司按照在计量日活跃市场中类似资产或负债的报价、非活跃市场中相同或类似资产或负债的报价，以及在正常报价间隔期间可观察的利率或收益率曲线等确定公允价值。</t>
  </si>
  <si>
    <t>EVD-0017</t>
  </si>
  <si>
    <t>chapter_records.9.evidence</t>
  </si>
  <si>
    <t># 九、关联方及关联交易 # (一) 关联方情况 1. 本公司最终控制方是海宁市人民政府国有资产监督管理办公室；2. 本公司的子公司情况详见本财务报表附注六(一)之说明</t>
  </si>
  <si>
    <t>9 九、关联方及关联交易</t>
  </si>
  <si>
    <t>9</t>
  </si>
  <si>
    <t>EVD-0018</t>
  </si>
  <si>
    <t>[注]公司向海宁市长安城北皮草置业有限公司拆出的资金 639,665.66 元，按照相关协议约定，不计息</t>
  </si>
  <si>
    <t>EVD-0019</t>
  </si>
  <si>
    <t>chapter_records.10.evidence</t>
  </si>
  <si>
    <t># 十、承诺及或有事项 # (一) 为其他单位提供债务担保形成的或有负债及其财务影响 # 1. 公司及子公司为非关联方提供的担保 被担保单位 担保金额（万元） 担保到期日 海宁市兴潮资产运营有限公司 26,110.72 2029-12-31 海宁家纺产业基地投资开发有限公司 3,100.00 2029-12-25 海…</t>
  </si>
  <si>
    <t>10 十、承诺及或有事项</t>
  </si>
  <si>
    <t>10</t>
  </si>
  <si>
    <t>EVD-0020</t>
  </si>
  <si>
    <t>被担保单位 担保金额（万元） 担保到期日 海宁市兴潮资产运营有限公司 26,110.72 2029-12-31 海宁家纺产业基地投资开发有限公司 3,100.00 2029-12-25 海宁家纺产业基地投资开发有限公司 4,865.00 2029-12-25 海宁市湾芯投资开发有限公司 70,000.00 2027-…</t>
  </si>
  <si>
    <t>EVD-0021</t>
  </si>
  <si>
    <t>chapter_records.11.evidence</t>
  </si>
  <si>
    <t># 十一、母公司财务报表主要项目注释 # (一) 母公司资产负债表项目注释 # 1. 应收账款 # (1) 账龄情况 账龄 期末数 期初数 2-3年 7,449,788.27 3年以上 7,449,788.27 合计 7,449,788.27 7,449,788.27 # (2) 坏账准备计提情况 # 1) 类别明细…</t>
  </si>
  <si>
    <t>11 十一、母公司财务报表主要项目注释</t>
  </si>
  <si>
    <t>11</t>
  </si>
  <si>
    <t>EVD-0022</t>
  </si>
  <si>
    <t>项目 期末数 期初数 账面余额 减值准备 账面价值 账面余额 减值准备 账面价值 对子公司投资 13,143,341,814.55 13,143,341,814.55 11,143,341,814.55 11,143,341,814.55 合计 13,143,341,814.55 13,143,341,814.55…</t>
  </si>
  <si>
    <t>城投专题分析</t>
  </si>
  <si>
    <t>专题模块</t>
  </si>
  <si>
    <t>公司城投属性突出，开发存货几乎全部由政府项目构成，应收、其他应收和预付款项也高度集中于政府及国有平台，市场化资产占比很低。</t>
  </si>
  <si>
    <t>城投业务拆分</t>
  </si>
  <si>
    <t>指标</t>
  </si>
  <si>
    <t>来源</t>
  </si>
  <si>
    <t>证据</t>
  </si>
  <si>
    <t>政府往来与资产端</t>
  </si>
  <si>
    <t>判断</t>
  </si>
  <si>
    <t>结论</t>
  </si>
  <si>
    <t>资产端政府化程度高，项目结算与财政安排决定回款节奏，市场化业务占比很低。</t>
  </si>
  <si>
    <t>专题判断</t>
  </si>
  <si>
    <t>EVD-0010, EVD-0017</t>
  </si>
  <si>
    <t>风险信号</t>
  </si>
  <si>
    <t>信号</t>
  </si>
  <si>
    <t>等级</t>
  </si>
  <si>
    <t>影响</t>
  </si>
  <si>
    <t>政府回款集中</t>
  </si>
  <si>
    <t>高</t>
  </si>
  <si>
    <t>结算与回款节奏高度依赖政府和平台。</t>
  </si>
  <si>
    <t>应收政府及国有控股单位款项组合 16,007,137,972.90；其他应收款政府组合 34,865,744,503.90</t>
  </si>
  <si>
    <t>市场化资产占比低</t>
  </si>
  <si>
    <t>中</t>
  </si>
  <si>
    <t>存货几乎全部由城投项目构成。</t>
  </si>
  <si>
    <t>政府相关库存资产 609.784347729；市场相关库存资产 0.5297904293</t>
  </si>
  <si>
    <t>融资成本计算</t>
  </si>
  <si>
    <t>2024 年财务费用 3.09 亿元，利息支出 3.12 亿元、利息收入 0.13 亿元，净利息负担约 3.00 亿元；财务费用率约 24.72%，融资成本对利润侵蚀明显。</t>
  </si>
  <si>
    <t>融资成本口径</t>
  </si>
  <si>
    <t>融资成本仍是利润表的重要消耗项，且主要依赖再融资滚动消化。</t>
  </si>
  <si>
    <t>融资成本侵蚀利润</t>
  </si>
  <si>
    <t>财务费用率约 24.72%，融资成本压力高。</t>
  </si>
  <si>
    <t>财务费用 309,211,034.42；利息支出 312,473,821.71</t>
  </si>
  <si>
    <t>Liquidity And Covenants</t>
  </si>
  <si>
    <t>固定骨架模块 04</t>
  </si>
  <si>
    <t>现金指标</t>
  </si>
  <si>
    <t>项目</t>
  </si>
  <si>
    <t>期间</t>
  </si>
  <si>
    <t>备注</t>
  </si>
  <si>
    <t>-</t>
  </si>
  <si>
    <t>经营现金流</t>
  </si>
  <si>
    <t>授信与债务窗口</t>
  </si>
  <si>
    <t>公开授信披露</t>
  </si>
  <si>
    <t>受限资产</t>
  </si>
  <si>
    <t>受限资产总额</t>
  </si>
  <si>
    <t>受限货币资金</t>
  </si>
  <si>
    <t>财务契约</t>
  </si>
  <si>
    <t>条目</t>
  </si>
  <si>
    <t>状态</t>
  </si>
  <si>
    <t>受限债务</t>
  </si>
  <si>
    <t>财务契约披露</t>
  </si>
  <si>
    <t>unknown</t>
  </si>
  <si>
    <t>未单列披露</t>
  </si>
  <si>
    <t>流动性观察</t>
  </si>
  <si>
    <t>经营性资金占用</t>
  </si>
  <si>
    <t>应收、预付和其他应收合计规模大，叠加存货 610.31 亿元，导致经营性占资持续高位。</t>
  </si>
  <si>
    <t>回款与补流</t>
  </si>
  <si>
    <t>经营现金流持续为负，筹资现金流为正，说明当前仍需要外部融资维持项目推进。</t>
  </si>
  <si>
    <t>Debt Profile</t>
  </si>
  <si>
    <t>固定骨架模块 03</t>
  </si>
  <si>
    <t>债务总览</t>
  </si>
  <si>
    <t>2024-12-31</t>
  </si>
  <si>
    <t>期限结构</t>
  </si>
  <si>
    <t>融资结构</t>
  </si>
  <si>
    <t>2024</t>
  </si>
  <si>
    <t>利率结构</t>
  </si>
  <si>
    <t>债务评论</t>
  </si>
  <si>
    <t>标签</t>
  </si>
  <si>
    <t>详情</t>
  </si>
  <si>
    <t>负债扩张</t>
  </si>
  <si>
    <t>报告期内短期借款、长期借款和债券余额均保持高位，融资结构对再融资窗口依赖明显。</t>
  </si>
  <si>
    <t>年报附注与三大表一致</t>
  </si>
  <si>
    <t>期限错配</t>
  </si>
  <si>
    <t>一年内到期负债规模较大，而经营现金流为负，期限错配风险仍是核心关注点。</t>
  </si>
  <si>
    <t>年报附注与现金流量表一致</t>
  </si>
  <si>
    <t>Financial Summary</t>
  </si>
  <si>
    <t>固定骨架模块 02</t>
  </si>
  <si>
    <t>以合并报表三大表和核心附注为依据，单位统一换算为亿元展示。</t>
  </si>
  <si>
    <t>资产负债表摘要</t>
  </si>
  <si>
    <t>利润表摘要</t>
  </si>
  <si>
    <t>现金流量表摘要</t>
  </si>
  <si>
    <t>KPI Dashboard</t>
  </si>
  <si>
    <t>固定骨架模块 01</t>
  </si>
  <si>
    <t>分类</t>
  </si>
  <si>
    <t>当前值</t>
  </si>
  <si>
    <t>风险</t>
  </si>
  <si>
    <t>对比</t>
  </si>
  <si>
    <t>杠杆</t>
  </si>
  <si>
    <t>较上年增加 116.04 亿元</t>
  </si>
  <si>
    <t>负债率约 65.4%</t>
  </si>
  <si>
    <t>归母权益 247.81 亿元</t>
  </si>
  <si>
    <t>低</t>
  </si>
  <si>
    <t>流动资产 722.16 亿元 / 流动负债 131.83 亿元</t>
  </si>
  <si>
    <t>偿债</t>
  </si>
  <si>
    <t>期末现金 19.18 亿元</t>
  </si>
  <si>
    <t>低于 1 倍</t>
  </si>
  <si>
    <t>一年内到期债务较大</t>
  </si>
  <si>
    <t>以银行借款和债券为主</t>
  </si>
  <si>
    <t>盈利</t>
  </si>
  <si>
    <t>同比增长 15.1%</t>
  </si>
  <si>
    <t>净利率约 6.5%</t>
  </si>
  <si>
    <t>少数股东损益贡献较大</t>
  </si>
  <si>
    <t>收入 12.51 亿元 / 成本 12.12 亿元</t>
  </si>
  <si>
    <t>现金流</t>
  </si>
  <si>
    <t>持续为负</t>
  </si>
  <si>
    <t>继续投向项目与股权</t>
  </si>
  <si>
    <t>依赖外部融资补流</t>
  </si>
  <si>
    <t>资金受限约 1.44 亿元</t>
  </si>
  <si>
    <t>Soul v1.1-alpha 概览</t>
  </si>
  <si>
    <t>浙江杭海新城控股集团有限公司 | 2024 | CNY | lgfv</t>
  </si>
  <si>
    <t>公司名称</t>
  </si>
  <si>
    <t>浙江杭海新城控股集团有限公司</t>
  </si>
  <si>
    <t>审计意见</t>
  </si>
  <si>
    <t>未识别</t>
  </si>
  <si>
    <t>报告类型</t>
  </si>
  <si>
    <t>a_share_full_report</t>
  </si>
  <si>
    <t>执行摘要</t>
  </si>
  <si>
    <t>公司仍保持“平台公司+开发经营”双重属性，报告期末资产总额 809.95 亿元，负债总额 530.00 亿元，归母所有者权益 247.81 亿元。</t>
  </si>
  <si>
    <t>收入端表面平稳，全年营业收入 12.51 亿元、净利润 0.81 亿元，但经营现金流净额为 -68.73 亿元，利润与现金回收明显背离。</t>
  </si>
  <si>
    <t>存货 610.31 亿元、应收账款 19.58 亿元、其他应收款 61.07 亿元，资产结构高度偏向土地开发、代建和平台往来。</t>
  </si>
  <si>
    <t>有息负债规模较大，短期借款 67.44 亿元，一年内到期非流动负债 27.09 亿元，应付债券 79.14 亿元，流动性依赖再融资和政府支持。</t>
  </si>
  <si>
    <t>关键风险</t>
  </si>
  <si>
    <t>再融资依赖</t>
  </si>
  <si>
    <t>短期借款和一年内到期债务合计规模较大，期末现金短债比仅约 0.28 倍。</t>
  </si>
  <si>
    <t>低效占资</t>
  </si>
  <si>
    <t>存货、预付款和往来款占用资金量大，经营现金流持续为负，资产周转压力高。</t>
  </si>
  <si>
    <t>关联与政府项目依赖</t>
  </si>
  <si>
    <t>应收、预付、租赁和往来关系大量集中于政府及国有平台，外部市场化回款属性偏弱。</t>
  </si>
  <si>
    <t>或有负债与担保</t>
  </si>
  <si>
    <t>对外担保余额较大，且涉及多家平台公司与长期到期项目，尾部风险需要持续跟踪。</t>
  </si>
  <si>
    <t>财务费用率接近四分之一，净利息负担仍处高位，融资成本持续消耗利润空间。</t>
  </si>
  <si>
    <t>报告亮点</t>
  </si>
  <si>
    <t>收入与利润</t>
  </si>
  <si>
    <t>营业收入 12.51 亿元，营业利润 0.92 亿元，净利润 0.81 亿元，仍能维持正向利润，但利润质量受政府补助和非经常性因素影响较大。</t>
  </si>
  <si>
    <t>经营活动现金流净额 -68.73 亿元，投资活动净流出 8.80 亿元，全年主要依靠筹资活动净流入 73.88 亿元对冲。</t>
  </si>
  <si>
    <t>资产结构</t>
  </si>
  <si>
    <t>存货 610.31 亿元，其中开发成本 559.92 亿元；投资性房地产 45.50 亿元，在建工程 13.85 亿元，典型平台开发资产占比高。</t>
  </si>
  <si>
    <t>融资成本</t>
  </si>
  <si>
    <t>财务费用 3.09 亿元，利息支出 3.12 亿元，财务费用率约 24.72%，说明融资成本对利润形成持续挤压。</t>
  </si>
  <si>
    <t>负债结构</t>
  </si>
  <si>
    <t>短期借款 67.44 亿元、长期借款 277.45 亿元、应付债券 79.14 亿元，融资结构以银行及债券融资为主。</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</si>
</sst>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1" x14ac:knownFonts="1">
    <font>
      <sz val="11"/>
      <color theme="1"/>
      <name val="Calibri"/>
      <family val="2"/>
      <scheme val="minor"/>
    </font>
    <font>
      <b/>
      <sz val="11"/>
      <color rgb="FFffffff"/>
      <name val="Calibri"/>
      <family val="2"/>
    </font>
    <font>
      <sz val="11"/>
      <color theme="1"/>
      <name val="Calibri"/>
      <family val="2"/>
    </font>
    <font>
      <b/>
      <sz val="16"/>
      <color rgb="FFffffff"/>
      <name val="Calibri"/>
      <family val="2"/>
    </font>
    <font>
      <i/>
      <sz val="11"/>
      <color rgb="FF4b5563"/>
      <name val="Calibri"/>
      <family val="2"/>
    </font>
    <font>
      <b/>
      <sz val="11"/>
      <color rgb="FF16324f"/>
      <name val="Calibri"/>
      <family val="2"/>
    </font>
    <font>
      <sz val="11"/>
      <color rgb="FF6b7280"/>
      <name val="Calibri"/>
      <family val="2"/>
    </font>
    <font>
      <sz val="11"/>
      <color rgb="FF9c0006"/>
      <name val="Calibri"/>
      <family val="2"/>
    </font>
    <font>
      <sz val="11"/>
      <color rgb="FF7f6000"/>
      <name val="Calibri"/>
      <family val="2"/>
    </font>
    <font>
      <b/>
      <sz val="11"/>
      <color rgb="FF000000"/>
      <name val="Calibri"/>
      <family val="2"/>
    </font>
    <font>
      <sz val="11"/>
      <color rgb="FF385723"/>
      <name val="Calibri"/>
      <family val="2"/>
    </font>
  </fonts>
  <fills count="9">
    <fill>
      <patternFill patternType="none"/>
    </fill>
    <fill>
      <patternFill patternType="gray125"/>
    </fill>
    <fill>
      <patternFill patternType="solid">
        <fgColor rgb="FF1f4e78"/>
      </patternFill>
    </fill>
    <fill>
      <patternFill patternType="solid">
        <fgColor rgb="FF16324f"/>
      </patternFill>
    </fill>
    <fill>
      <patternFill patternType="solid">
        <fgColor rgb="FFd9e2f3"/>
      </patternFill>
    </fill>
    <fill>
      <patternFill patternType="solid">
        <fgColor rgb="FFfde9d9"/>
      </patternFill>
    </fill>
    <fill>
      <patternFill patternType="solid">
        <fgColor rgb="FFfff2cc"/>
      </patternFill>
    </fill>
    <fill>
      <patternFill patternType="solid">
        <fgColor rgb="FFeaf0f7"/>
      </patternFill>
    </fill>
    <fill>
      <patternFill patternType="solid">
        <fgColor rgb="FFe2f0d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4">
    <xf xfId="0" numFmtId="0" borderId="0" fontId="0" fillId="0"/>
    <xf xfId="0" numFmtId="0" borderId="1" applyBorder="1" fontId="1" applyFont="1" fillId="2" applyFill="1" applyAlignment="1">
      <alignment horizontal="center" wrapText="1"/>
    </xf>
    <xf xfId="0" numFmtId="4" applyNumberFormat="1" borderId="1" applyBorder="1" fontId="1" applyFont="1" fillId="2" applyFill="1" applyAlignment="1">
      <alignment horizontal="center"/>
    </xf>
    <xf xfId="0" numFmtId="0" borderId="1" applyBorder="1" fontId="2" applyFont="1" fillId="0" applyAlignment="1">
      <alignment horizontal="left" wrapText="1"/>
    </xf>
    <xf xfId="0" numFmtId="4" applyNumberFormat="1" borderId="1" applyBorder="1" fontId="2" applyFont="1" fillId="0" applyAlignment="1">
      <alignment horizontal="right"/>
    </xf>
    <xf xfId="0" numFmtId="0" borderId="0" fontId="0" fillId="0" applyAlignment="1">
      <alignment horizontal="general" wrapText="1"/>
    </xf>
    <xf xfId="0" numFmtId="4" applyNumberFormat="1" borderId="0" fontId="0" fillId="0" applyAlignment="1">
      <alignment horizontal="right"/>
    </xf>
    <xf xfId="0" numFmtId="0" borderId="2" applyBorder="1" fontId="3" applyFont="1" fillId="3" applyFill="1" applyAlignment="1">
      <alignment horizontal="left"/>
    </xf>
    <xf xfId="0" numFmtId="0" borderId="0" fontId="0" fillId="0" applyAlignment="1">
      <alignment horizontal="general"/>
    </xf>
    <xf xfId="0" numFmtId="0" borderId="0" fontId="0" fillId="0" applyAlignment="1">
      <alignment wrapText="1"/>
    </xf>
    <xf xfId="0" numFmtId="0" borderId="3" applyBorder="1" fontId="4" applyFont="1" fillId="0" applyAlignment="1">
      <alignment horizontal="left" wrapText="1"/>
    </xf>
    <xf xfId="0" numFmtId="0" borderId="0" fontId="0" fillId="0" applyAlignment="1">
      <alignment horizontal="general" wrapText="1"/>
    </xf>
    <xf xfId="0" numFmtId="0" borderId="1" applyBorder="1" fontId="1" applyFont="1" fillId="2" applyFill="1" applyAlignment="1">
      <alignment horizontal="center"/>
    </xf>
    <xf xfId="0" numFmtId="0" borderId="0" fontId="0" fillId="0" applyAlignment="1">
      <alignment horizontal="general"/>
    </xf>
    <xf xfId="0" numFmtId="4" applyNumberFormat="1" borderId="2" applyBorder="1" fontId="3" applyFont="1" fillId="3" applyFill="1" applyAlignment="1">
      <alignment horizontal="left"/>
    </xf>
    <xf xfId="0" numFmtId="4" applyNumberFormat="1" borderId="0" fontId="0" fillId="0" applyAlignment="1">
      <alignment horizontal="general" wrapText="1"/>
    </xf>
    <xf xfId="0" numFmtId="4" applyNumberFormat="1" borderId="0" fontId="0" fillId="0" applyAlignment="1">
      <alignment horizontal="general"/>
    </xf>
    <xf xfId="0" numFmtId="0" borderId="1" applyBorder="1" fontId="2" applyFont="1" fillId="0" applyAlignment="1">
      <alignment horizontal="left" vertical="top" wrapText="1"/>
    </xf>
    <xf xfId="0" numFmtId="4" applyNumberFormat="1" borderId="1" applyBorder="1" fontId="2" applyFont="1" fillId="0" applyAlignment="1">
      <alignment horizontal="left" wrapText="1"/>
    </xf>
    <xf xfId="0" numFmtId="0" borderId="1" applyBorder="1" fontId="5" applyFont="1" fillId="4" applyFill="1" applyAlignment="1">
      <alignment horizontal="left"/>
    </xf>
    <xf xfId="0" numFmtId="4" applyNumberFormat="1" borderId="1" applyBorder="1" fontId="5" applyFont="1" fillId="4" applyFill="1" applyAlignment="1">
      <alignment horizontal="left"/>
    </xf>
    <xf xfId="0" numFmtId="0" borderId="1" applyBorder="1" fontId="6" applyFont="1" fillId="0" applyAlignment="1">
      <alignment horizontal="left" wrapText="1"/>
    </xf>
    <xf xfId="0" numFmtId="4" applyNumberFormat="1" borderId="1" applyBorder="1" fontId="2" applyFont="1" fillId="0" applyAlignment="1">
      <alignment horizontal="left"/>
    </xf>
    <xf xfId="0" numFmtId="4" applyNumberFormat="1" borderId="1" applyBorder="1" fontId="7" applyFont="1" fillId="5" applyFill="1" applyAlignment="1">
      <alignment horizontal="left"/>
    </xf>
    <xf xfId="0" numFmtId="4" applyNumberFormat="1" borderId="1" applyBorder="1" fontId="8" applyFont="1" fillId="6" applyFill="1" applyAlignment="1">
      <alignment horizontal="left"/>
    </xf>
    <xf xfId="0" numFmtId="4" applyNumberFormat="1" borderId="0" fontId="0" fillId="0" applyAlignment="1">
      <alignment horizontal="general"/>
    </xf>
    <xf xfId="0" numFmtId="0" borderId="1" applyBorder="1" fontId="8" applyFont="1" fillId="6" applyFill="1" applyAlignment="1">
      <alignment horizontal="left"/>
    </xf>
    <xf xfId="0" numFmtId="0" borderId="1" applyBorder="1" fontId="9" applyFont="1" fillId="7" applyFill="1" applyAlignment="1">
      <alignment horizontal="left"/>
    </xf>
    <xf xfId="0" numFmtId="4" applyNumberFormat="1" borderId="0" fontId="0" fillId="0" applyAlignment="1">
      <alignment horizontal="right" wrapText="1"/>
    </xf>
    <xf xfId="0" numFmtId="4" applyNumberFormat="1" borderId="3" applyBorder="1" fontId="4" applyFont="1" fillId="0" applyAlignment="1">
      <alignment horizontal="left" wrapText="1"/>
    </xf>
    <xf xfId="0" numFmtId="4" applyNumberFormat="1" borderId="0" fontId="0" fillId="0" applyAlignment="1">
      <alignment horizontal="right"/>
    </xf>
    <xf xfId="0" numFmtId="0" borderId="1" applyBorder="1" fontId="5" applyFont="1" fillId="4" applyFill="1" applyAlignment="1">
      <alignment horizontal="left" vertical="top"/>
    </xf>
    <xf xfId="0" numFmtId="0" borderId="1" applyBorder="1" fontId="7" applyFont="1" fillId="5" applyFill="1" applyAlignment="1">
      <alignment horizontal="left"/>
    </xf>
    <xf xfId="0" numFmtId="0" borderId="1" applyBorder="1" fontId="10" applyFont="1" fillId="8"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sharedStrings.xml" Type="http://schemas.openxmlformats.org/officeDocument/2006/relationships/sharedStrings" Id="rId10"/><Relationship Target="styles.xml" Type="http://schemas.openxmlformats.org/officeDocument/2006/relationships/styles" Id="rId11"/><Relationship Target="theme/theme1.xml" Type="http://schemas.openxmlformats.org/officeDocument/2006/relationships/theme" Id="rId12"/></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5"/>
  <sheetViews>
    <sheetView workbookViewId="0">
      <pane state="frozen" activePane="bottomLeft" topLeftCell="A3" ySplit="2" xSplit="0"/>
    </sheetView>
  </sheetViews>
  <sheetFormatPr defaultRowHeight="15" x14ac:dyDescent="0.25"/>
  <cols>
    <col min="1" max="1" style="13" width="16.719285714285714" customWidth="1" bestFit="1"/>
    <col min="2" max="2" style="13" width="22.719285714285714" customWidth="1" bestFit="1"/>
    <col min="3" max="3" style="13" width="24.719285714285714" customWidth="1" bestFit="1"/>
    <col min="4" max="4" style="13" width="24.719285714285714" customWidth="1" bestFit="1"/>
    <col min="5" max="5" style="13" width="24.719285714285714" customWidth="1" bestFit="1"/>
    <col min="6" max="6" style="13" width="24.719285714285714" customWidth="1" bestFit="1"/>
  </cols>
  <sheetData>
    <row x14ac:dyDescent="0.25" r="1" customHeight="1" ht="17.25">
      <c r="A1" s="7" t="s">
        <v>311</v>
      </c>
      <c r="B1" s="7"/>
      <c r="C1" s="7"/>
      <c r="D1" s="7"/>
      <c r="E1" s="7"/>
      <c r="F1" s="7"/>
    </row>
    <row x14ac:dyDescent="0.25" r="2" customHeight="1" ht="17.25" customFormat="1" s="9">
      <c r="A2" s="10" t="s">
        <v>312</v>
      </c>
      <c r="B2" s="11"/>
      <c r="C2" s="11"/>
      <c r="D2" s="11"/>
      <c r="E2" s="11"/>
      <c r="F2" s="11"/>
    </row>
    <row x14ac:dyDescent="0.25" r="3" customHeight="1" ht="17.25">
      <c r="A3" s="8"/>
      <c r="B3" s="8"/>
      <c r="C3" s="8"/>
      <c r="D3" s="8"/>
      <c r="E3" s="8"/>
      <c r="F3" s="8"/>
    </row>
    <row x14ac:dyDescent="0.25" r="4" customHeight="1" ht="34.5">
      <c r="A4" s="12" t="s">
        <v>313</v>
      </c>
      <c r="B4" s="3" t="s">
        <v>314</v>
      </c>
      <c r="C4" s="12" t="s">
        <v>315</v>
      </c>
      <c r="D4" s="3" t="s">
        <v>316</v>
      </c>
      <c r="E4" s="12" t="s">
        <v>317</v>
      </c>
      <c r="F4" s="3" t="s">
        <v>318</v>
      </c>
    </row>
    <row x14ac:dyDescent="0.25" r="5" customHeight="1" ht="17.25">
      <c r="A5" s="8"/>
      <c r="B5" s="8"/>
      <c r="C5" s="8"/>
      <c r="D5" s="8"/>
      <c r="E5" s="8"/>
      <c r="F5" s="8"/>
    </row>
    <row x14ac:dyDescent="0.25" r="6" customHeight="1" ht="21.75">
      <c r="A6" s="19" t="s">
        <v>319</v>
      </c>
      <c r="B6" s="19"/>
      <c r="C6" s="19"/>
      <c r="D6" s="19"/>
      <c r="E6" s="19"/>
      <c r="F6" s="19"/>
    </row>
    <row x14ac:dyDescent="0.25" r="7" customHeight="1" ht="20.25" customFormat="1" s="9">
      <c r="A7" s="3" t="s">
        <v>320</v>
      </c>
      <c r="B7" s="3"/>
      <c r="C7" s="3"/>
      <c r="D7" s="3"/>
      <c r="E7" s="3"/>
      <c r="F7" s="3"/>
    </row>
    <row x14ac:dyDescent="0.25" r="8" customHeight="1" ht="20.25" customFormat="1" s="9">
      <c r="A8" s="3" t="s">
        <v>321</v>
      </c>
      <c r="B8" s="3"/>
      <c r="C8" s="3"/>
      <c r="D8" s="3"/>
      <c r="E8" s="3"/>
      <c r="F8" s="3"/>
    </row>
    <row x14ac:dyDescent="0.25" r="9" customHeight="1" ht="20.25" customFormat="1" s="9">
      <c r="A9" s="3" t="s">
        <v>322</v>
      </c>
      <c r="B9" s="3"/>
      <c r="C9" s="3"/>
      <c r="D9" s="3"/>
      <c r="E9" s="3"/>
      <c r="F9" s="3"/>
    </row>
    <row x14ac:dyDescent="0.25" r="10" customHeight="1" ht="21" customFormat="1" s="9">
      <c r="A10" s="3" t="s">
        <v>323</v>
      </c>
      <c r="B10" s="3"/>
      <c r="C10" s="3"/>
      <c r="D10" s="3"/>
      <c r="E10" s="3"/>
      <c r="F10" s="3"/>
    </row>
    <row x14ac:dyDescent="0.25" r="11" customHeight="1" ht="17.25">
      <c r="A11" s="8"/>
      <c r="B11" s="8"/>
      <c r="C11" s="8"/>
      <c r="D11" s="8"/>
      <c r="E11" s="8"/>
      <c r="F11" s="8"/>
    </row>
    <row x14ac:dyDescent="0.25" r="12" customHeight="1" ht="21.75">
      <c r="A12" s="19" t="s">
        <v>324</v>
      </c>
      <c r="B12" s="19"/>
      <c r="C12" s="19"/>
      <c r="D12" s="19"/>
      <c r="E12" s="19"/>
      <c r="F12" s="19"/>
    </row>
    <row x14ac:dyDescent="0.25" r="13" customHeight="1" ht="21.75">
      <c r="A13" s="12" t="s">
        <v>288</v>
      </c>
      <c r="B13" s="12" t="s">
        <v>219</v>
      </c>
      <c r="C13" s="12" t="s">
        <v>3</v>
      </c>
      <c r="D13" s="12" t="s">
        <v>210</v>
      </c>
      <c r="E13" s="8"/>
      <c r="F13" s="8"/>
    </row>
    <row x14ac:dyDescent="0.25" r="14" customHeight="1" ht="139.5">
      <c r="A14" s="3" t="s">
        <v>325</v>
      </c>
      <c r="B14" s="32" t="s">
        <v>222</v>
      </c>
      <c r="C14" s="3" t="s">
        <v>326</v>
      </c>
      <c r="D14" s="3" t="s">
        <v>157</v>
      </c>
      <c r="E14" s="21" t="s">
        <v>155</v>
      </c>
      <c r="F14" s="21"/>
    </row>
    <row x14ac:dyDescent="0.25" r="15" customHeight="1" ht="126">
      <c r="A15" s="3" t="s">
        <v>327</v>
      </c>
      <c r="B15" s="32" t="s">
        <v>222</v>
      </c>
      <c r="C15" s="3" t="s">
        <v>328</v>
      </c>
      <c r="D15" s="3" t="s">
        <v>161</v>
      </c>
      <c r="E15" s="21" t="s">
        <v>160</v>
      </c>
      <c r="F15" s="21"/>
    </row>
    <row x14ac:dyDescent="0.25" r="16" customHeight="1" ht="139.5">
      <c r="A16" s="3" t="s">
        <v>329</v>
      </c>
      <c r="B16" s="26" t="s">
        <v>226</v>
      </c>
      <c r="C16" s="3" t="s">
        <v>330</v>
      </c>
      <c r="D16" s="3" t="s">
        <v>157</v>
      </c>
      <c r="E16" s="21" t="s">
        <v>155</v>
      </c>
      <c r="F16" s="21"/>
    </row>
    <row x14ac:dyDescent="0.25" r="17" customHeight="1" ht="126">
      <c r="A17" s="3" t="s">
        <v>331</v>
      </c>
      <c r="B17" s="32" t="s">
        <v>222</v>
      </c>
      <c r="C17" s="3" t="s">
        <v>332</v>
      </c>
      <c r="D17" s="3" t="s">
        <v>161</v>
      </c>
      <c r="E17" s="21" t="s">
        <v>160</v>
      </c>
      <c r="F17" s="21"/>
    </row>
    <row x14ac:dyDescent="0.25" r="18" customHeight="1" ht="140.25">
      <c r="A18" s="3" t="s">
        <v>233</v>
      </c>
      <c r="B18" s="32" t="s">
        <v>222</v>
      </c>
      <c r="C18" s="3" t="s">
        <v>333</v>
      </c>
      <c r="D18" s="3" t="s">
        <v>157</v>
      </c>
      <c r="E18" s="21" t="s">
        <v>155</v>
      </c>
      <c r="F18" s="21"/>
    </row>
    <row x14ac:dyDescent="0.25" r="19" customHeight="1" ht="17.25">
      <c r="A19" s="8"/>
      <c r="B19" s="8"/>
      <c r="C19" s="8"/>
      <c r="D19" s="8"/>
      <c r="E19" s="8"/>
      <c r="F19" s="8"/>
    </row>
    <row x14ac:dyDescent="0.25" r="20" customHeight="1" ht="21.75">
      <c r="A20" s="19" t="s">
        <v>334</v>
      </c>
      <c r="B20" s="19"/>
      <c r="C20" s="19"/>
      <c r="D20" s="19"/>
      <c r="E20" s="19"/>
      <c r="F20" s="19"/>
    </row>
    <row x14ac:dyDescent="0.25" r="21" customHeight="1" ht="21.75">
      <c r="A21" s="27" t="s">
        <v>335</v>
      </c>
      <c r="B21" s="3" t="s">
        <v>336</v>
      </c>
      <c r="C21" s="3"/>
      <c r="D21" s="3"/>
      <c r="E21" s="3"/>
      <c r="F21" s="3"/>
    </row>
    <row x14ac:dyDescent="0.25" r="22" customHeight="1" ht="21.75">
      <c r="A22" s="27" t="s">
        <v>306</v>
      </c>
      <c r="B22" s="3" t="s">
        <v>337</v>
      </c>
      <c r="C22" s="3"/>
      <c r="D22" s="3"/>
      <c r="E22" s="3"/>
      <c r="F22" s="3"/>
    </row>
    <row x14ac:dyDescent="0.25" r="23" customHeight="1" ht="21.75">
      <c r="A23" s="27" t="s">
        <v>338</v>
      </c>
      <c r="B23" s="3" t="s">
        <v>339</v>
      </c>
      <c r="C23" s="3"/>
      <c r="D23" s="3"/>
      <c r="E23" s="3"/>
      <c r="F23" s="3"/>
    </row>
    <row x14ac:dyDescent="0.25" r="24" customHeight="1" ht="21.75">
      <c r="A24" s="27" t="s">
        <v>340</v>
      </c>
      <c r="B24" s="3" t="s">
        <v>341</v>
      </c>
      <c r="C24" s="3"/>
      <c r="D24" s="3"/>
      <c r="E24" s="3"/>
      <c r="F24" s="3"/>
    </row>
    <row x14ac:dyDescent="0.25" r="25" customHeight="1" ht="22.5">
      <c r="A25" s="27" t="s">
        <v>342</v>
      </c>
      <c r="B25" s="3" t="s">
        <v>343</v>
      </c>
      <c r="C25" s="3"/>
      <c r="D25" s="3"/>
      <c r="E25" s="3"/>
      <c r="F25" s="3"/>
    </row>
  </sheetData>
  <mergeCells count="18">
    <mergeCell ref="A1:F1"/>
    <mergeCell ref="A6:F6"/>
    <mergeCell ref="A7:F7"/>
    <mergeCell ref="A8:F8"/>
    <mergeCell ref="A9:F9"/>
    <mergeCell ref="A10:F10"/>
    <mergeCell ref="A12:F12"/>
    <mergeCell ref="E14:F14"/>
    <mergeCell ref="E15:F15"/>
    <mergeCell ref="E16:F16"/>
    <mergeCell ref="E17:F17"/>
    <mergeCell ref="E18:F18"/>
    <mergeCell ref="A20:F20"/>
    <mergeCell ref="B21:F21"/>
    <mergeCell ref="B22:F22"/>
    <mergeCell ref="B23:F23"/>
    <mergeCell ref="B24:F24"/>
    <mergeCell ref="B25:F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0"/>
  <sheetViews>
    <sheetView workbookViewId="0">
      <pane state="frozen" activePane="bottomLeft" topLeftCell="A3" ySplit="2" xSplit="0"/>
    </sheetView>
  </sheetViews>
  <sheetFormatPr defaultRowHeight="15" x14ac:dyDescent="0.25"/>
  <cols>
    <col min="1" max="1" style="13" width="14.719285714285713" customWidth="1" bestFit="1"/>
    <col min="2" max="2" style="13" width="22.719285714285714" customWidth="1" bestFit="1"/>
    <col min="3" max="3" style="6" width="14.719285714285713" customWidth="1" bestFit="1"/>
    <col min="4" max="4" style="13" width="12.719285714285713" customWidth="1" bestFit="1"/>
    <col min="5" max="5" style="13" width="12.719285714285713" customWidth="1" bestFit="1"/>
    <col min="6" max="6" style="13" width="12.719285714285713" customWidth="1" bestFit="1"/>
    <col min="7" max="7" style="13" width="14.719285714285713" customWidth="1" bestFit="1"/>
    <col min="8" max="8" style="13" width="24.719285714285714" customWidth="1" bestFit="1"/>
  </cols>
  <sheetData>
    <row x14ac:dyDescent="0.25" r="1" customHeight="1" ht="17.25">
      <c r="A1" s="7" t="s">
        <v>284</v>
      </c>
      <c r="B1" s="7"/>
      <c r="C1" s="14"/>
      <c r="D1" s="7"/>
      <c r="E1" s="7"/>
      <c r="F1" s="7"/>
      <c r="G1" s="8"/>
      <c r="H1" s="8"/>
    </row>
    <row x14ac:dyDescent="0.25" r="2" customHeight="1" ht="17.25" customFormat="1" s="9">
      <c r="A2" s="10" t="s">
        <v>285</v>
      </c>
      <c r="B2" s="11"/>
      <c r="C2" s="28"/>
      <c r="D2" s="11"/>
      <c r="E2" s="11"/>
      <c r="F2" s="11"/>
      <c r="G2" s="11"/>
      <c r="H2" s="11"/>
    </row>
    <row x14ac:dyDescent="0.25" r="3" customHeight="1" ht="17.25">
      <c r="A3" s="8"/>
      <c r="B3" s="8"/>
      <c r="C3" s="30"/>
      <c r="D3" s="8"/>
      <c r="E3" s="8"/>
      <c r="F3" s="8"/>
      <c r="G3" s="8"/>
      <c r="H3" s="8"/>
    </row>
    <row x14ac:dyDescent="0.25" r="4" customHeight="1" ht="17.25">
      <c r="A4" s="12" t="s">
        <v>286</v>
      </c>
      <c r="B4" s="12" t="s">
        <v>208</v>
      </c>
      <c r="C4" s="2" t="s">
        <v>287</v>
      </c>
      <c r="D4" s="12" t="s">
        <v>2</v>
      </c>
      <c r="E4" s="12" t="s">
        <v>288</v>
      </c>
      <c r="F4" s="12" t="s">
        <v>209</v>
      </c>
      <c r="G4" s="12" t="s">
        <v>289</v>
      </c>
      <c r="H4" s="12" t="s">
        <v>210</v>
      </c>
    </row>
    <row x14ac:dyDescent="0.25" r="5" customHeight="1" ht="17.25">
      <c r="A5" s="31" t="s">
        <v>290</v>
      </c>
      <c r="B5" s="3" t="s">
        <v>15</v>
      </c>
      <c r="C5" s="4">
        <f>'RAW_INPUTS'!$B$11</f>
      </c>
      <c r="D5" s="3" t="s">
        <v>5</v>
      </c>
      <c r="E5" s="26" t="s">
        <v>226</v>
      </c>
      <c r="F5" s="3" t="s">
        <v>16</v>
      </c>
      <c r="G5" s="3" t="s">
        <v>291</v>
      </c>
      <c r="H5" s="21" t="s">
        <v>155</v>
      </c>
    </row>
    <row x14ac:dyDescent="0.25" r="6" customHeight="1" ht="17.25">
      <c r="A6" s="19"/>
      <c r="B6" s="3" t="s">
        <v>17</v>
      </c>
      <c r="C6" s="4">
        <f>'RAW_INPUTS'!$B$12</f>
      </c>
      <c r="D6" s="3" t="s">
        <v>5</v>
      </c>
      <c r="E6" s="32" t="s">
        <v>222</v>
      </c>
      <c r="F6" s="3" t="s">
        <v>16</v>
      </c>
      <c r="G6" s="3" t="s">
        <v>292</v>
      </c>
      <c r="H6" s="21" t="s">
        <v>155</v>
      </c>
    </row>
    <row x14ac:dyDescent="0.25" r="7" customHeight="1" ht="17.25">
      <c r="A7" s="19"/>
      <c r="B7" s="3" t="s">
        <v>18</v>
      </c>
      <c r="C7" s="4">
        <f>IFERROR(('RAW_INPUTS'!$B$11-'RAW_INPUTS'!$B$12)/'RAW_INPUTS'!$B$11*100,"")</f>
      </c>
      <c r="D7" s="3"/>
      <c r="E7" s="26" t="s">
        <v>226</v>
      </c>
      <c r="F7" s="3" t="s">
        <v>16</v>
      </c>
      <c r="G7" s="3" t="s">
        <v>293</v>
      </c>
      <c r="H7" s="21" t="s">
        <v>155</v>
      </c>
    </row>
    <row x14ac:dyDescent="0.25" r="8" customHeight="1" ht="17.25">
      <c r="A8" s="19"/>
      <c r="B8" s="3" t="s">
        <v>19</v>
      </c>
      <c r="C8" s="4">
        <f>IFERROR('RAW_INPUTS'!$B$30/'RAW_INPUTS'!$B$31,"")</f>
      </c>
      <c r="D8" s="3" t="s">
        <v>20</v>
      </c>
      <c r="E8" s="33" t="s">
        <v>294</v>
      </c>
      <c r="F8" s="3" t="s">
        <v>21</v>
      </c>
      <c r="G8" s="3" t="s">
        <v>295</v>
      </c>
      <c r="H8" s="21" t="s">
        <v>155</v>
      </c>
    </row>
    <row x14ac:dyDescent="0.25" r="9" customHeight="1" ht="17.25">
      <c r="A9" s="31" t="s">
        <v>296</v>
      </c>
      <c r="B9" s="3" t="s">
        <v>22</v>
      </c>
      <c r="C9" s="4">
        <f>'RAW_INPUTS'!$B$40</f>
      </c>
      <c r="D9" s="3" t="s">
        <v>5</v>
      </c>
      <c r="E9" s="26" t="s">
        <v>226</v>
      </c>
      <c r="F9" s="3" t="s">
        <v>23</v>
      </c>
      <c r="G9" s="3" t="s">
        <v>297</v>
      </c>
      <c r="H9" s="21" t="s">
        <v>155</v>
      </c>
    </row>
    <row x14ac:dyDescent="0.25" r="10" customHeight="1" ht="17.25">
      <c r="A10" s="19"/>
      <c r="B10" s="3" t="s">
        <v>24</v>
      </c>
      <c r="C10" s="4">
        <f>IFERROR('RAW_INPUTS'!$B$40/'RAW_INPUTS'!$B$42,"")</f>
      </c>
      <c r="D10" s="3" t="s">
        <v>20</v>
      </c>
      <c r="E10" s="32" t="s">
        <v>222</v>
      </c>
      <c r="F10" s="3" t="s">
        <v>25</v>
      </c>
      <c r="G10" s="3" t="s">
        <v>298</v>
      </c>
      <c r="H10" s="21" t="s">
        <v>155</v>
      </c>
    </row>
    <row x14ac:dyDescent="0.25" r="11" customHeight="1" ht="17.25">
      <c r="A11" s="19"/>
      <c r="B11" s="3" t="s">
        <v>26</v>
      </c>
      <c r="C11" s="4">
        <f>'RAW_INPUTS'!$B$17</f>
      </c>
      <c r="D11" s="3" t="s">
        <v>5</v>
      </c>
      <c r="E11" s="32" t="s">
        <v>222</v>
      </c>
      <c r="F11" s="3" t="s">
        <v>27</v>
      </c>
      <c r="G11" s="3" t="s">
        <v>299</v>
      </c>
      <c r="H11" s="21" t="s">
        <v>155</v>
      </c>
    </row>
    <row x14ac:dyDescent="0.25" r="12" customHeight="1" ht="17.25">
      <c r="A12" s="19"/>
      <c r="B12" s="3" t="s">
        <v>28</v>
      </c>
      <c r="C12" s="4">
        <f>'RAW_INPUTS'!$B$18</f>
      </c>
      <c r="D12" s="3" t="s">
        <v>5</v>
      </c>
      <c r="E12" s="32" t="s">
        <v>222</v>
      </c>
      <c r="F12" s="3" t="s">
        <v>29</v>
      </c>
      <c r="G12" s="3" t="s">
        <v>300</v>
      </c>
      <c r="H12" s="21" t="s">
        <v>155</v>
      </c>
    </row>
    <row x14ac:dyDescent="0.25" r="13" customHeight="1" ht="17.25">
      <c r="A13" s="31" t="s">
        <v>301</v>
      </c>
      <c r="B13" s="3" t="s">
        <v>30</v>
      </c>
      <c r="C13" s="4">
        <f>'RAW_INPUTS'!$B$19</f>
      </c>
      <c r="D13" s="3" t="s">
        <v>5</v>
      </c>
      <c r="E13" s="26" t="s">
        <v>226</v>
      </c>
      <c r="F13" s="3" t="s">
        <v>31</v>
      </c>
      <c r="G13" s="3" t="s">
        <v>302</v>
      </c>
      <c r="H13" s="21" t="s">
        <v>155</v>
      </c>
    </row>
    <row x14ac:dyDescent="0.25" r="14" customHeight="1" ht="17.25">
      <c r="A14" s="19"/>
      <c r="B14" s="3" t="s">
        <v>32</v>
      </c>
      <c r="C14" s="4">
        <f>'RAW_INPUTS'!$B$20</f>
      </c>
      <c r="D14" s="3" t="s">
        <v>5</v>
      </c>
      <c r="E14" s="26" t="s">
        <v>226</v>
      </c>
      <c r="F14" s="3" t="s">
        <v>31</v>
      </c>
      <c r="G14" s="3" t="s">
        <v>303</v>
      </c>
      <c r="H14" s="21" t="s">
        <v>155</v>
      </c>
    </row>
    <row x14ac:dyDescent="0.25" r="15" customHeight="1" ht="17.25">
      <c r="A15" s="19"/>
      <c r="B15" s="3" t="s">
        <v>33</v>
      </c>
      <c r="C15" s="4">
        <f>'RAW_INPUTS'!$B$21</f>
      </c>
      <c r="D15" s="3" t="s">
        <v>5</v>
      </c>
      <c r="E15" s="26" t="s">
        <v>226</v>
      </c>
      <c r="F15" s="3" t="s">
        <v>31</v>
      </c>
      <c r="G15" s="3" t="s">
        <v>304</v>
      </c>
      <c r="H15" s="21" t="s">
        <v>155</v>
      </c>
    </row>
    <row x14ac:dyDescent="0.25" r="16" customHeight="1" ht="17.25">
      <c r="A16" s="19"/>
      <c r="B16" s="3" t="s">
        <v>34</v>
      </c>
      <c r="C16" s="4">
        <f>IFERROR(('RAW_INPUTS'!$B$32-'RAW_INPUTS'!$B$33)/'RAW_INPUTS'!$B$32*100,"")</f>
      </c>
      <c r="D16" s="3"/>
      <c r="E16" s="32" t="s">
        <v>222</v>
      </c>
      <c r="F16" s="3" t="s">
        <v>35</v>
      </c>
      <c r="G16" s="3" t="s">
        <v>305</v>
      </c>
      <c r="H16" s="21" t="s">
        <v>155</v>
      </c>
    </row>
    <row x14ac:dyDescent="0.25" r="17" customHeight="1" ht="17.25">
      <c r="A17" s="31" t="s">
        <v>306</v>
      </c>
      <c r="B17" s="3" t="s">
        <v>36</v>
      </c>
      <c r="C17" s="4">
        <f>'RAW_INPUTS'!$B$23</f>
      </c>
      <c r="D17" s="3" t="s">
        <v>5</v>
      </c>
      <c r="E17" s="32" t="s">
        <v>222</v>
      </c>
      <c r="F17" s="3" t="s">
        <v>37</v>
      </c>
      <c r="G17" s="3" t="s">
        <v>307</v>
      </c>
      <c r="H17" s="21" t="s">
        <v>155</v>
      </c>
    </row>
    <row x14ac:dyDescent="0.25" r="18" customHeight="1" ht="17.25">
      <c r="A18" s="19"/>
      <c r="B18" s="3" t="s">
        <v>38</v>
      </c>
      <c r="C18" s="4">
        <f>'RAW_INPUTS'!$B$24</f>
      </c>
      <c r="D18" s="3" t="s">
        <v>5</v>
      </c>
      <c r="E18" s="26" t="s">
        <v>226</v>
      </c>
      <c r="F18" s="3" t="s">
        <v>37</v>
      </c>
      <c r="G18" s="3" t="s">
        <v>308</v>
      </c>
      <c r="H18" s="21" t="s">
        <v>155</v>
      </c>
    </row>
    <row x14ac:dyDescent="0.25" r="19" customHeight="1" ht="17.25">
      <c r="A19" s="19"/>
      <c r="B19" s="3" t="s">
        <v>39</v>
      </c>
      <c r="C19" s="4">
        <f>'RAW_INPUTS'!$B$25</f>
      </c>
      <c r="D19" s="3" t="s">
        <v>5</v>
      </c>
      <c r="E19" s="32" t="s">
        <v>222</v>
      </c>
      <c r="F19" s="3" t="s">
        <v>37</v>
      </c>
      <c r="G19" s="3" t="s">
        <v>309</v>
      </c>
      <c r="H19" s="21" t="s">
        <v>155</v>
      </c>
    </row>
    <row x14ac:dyDescent="0.25" r="20" customHeight="1" ht="17.25">
      <c r="A20" s="19"/>
      <c r="B20" s="3" t="s">
        <v>40</v>
      </c>
      <c r="C20" s="4">
        <f>'RAW_INPUTS'!$B$26</f>
      </c>
      <c r="D20" s="3" t="s">
        <v>5</v>
      </c>
      <c r="E20" s="26" t="s">
        <v>226</v>
      </c>
      <c r="F20" s="3" t="s">
        <v>41</v>
      </c>
      <c r="G20" s="3" t="s">
        <v>310</v>
      </c>
      <c r="H20" s="21" t="s">
        <v>155</v>
      </c>
    </row>
  </sheetData>
  <mergeCells count="5">
    <mergeCell ref="A1:F1"/>
    <mergeCell ref="A5:A8"/>
    <mergeCell ref="A9:A12"/>
    <mergeCell ref="A13:A16"/>
    <mergeCell ref="A17:A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6"/>
  <sheetViews>
    <sheetView workbookViewId="0">
      <pane state="frozen" activePane="bottomLeft" topLeftCell="A3" ySplit="2" xSplit="0"/>
    </sheetView>
  </sheetViews>
  <sheetFormatPr defaultRowHeight="15" x14ac:dyDescent="0.25"/>
  <cols>
    <col min="1" max="1" style="13" width="24.719285714285714" customWidth="1" bestFit="1"/>
    <col min="2" max="2" style="13" width="16.719285714285714" customWidth="1" bestFit="1"/>
    <col min="3" max="3" style="6" width="16.719285714285714" customWidth="1" bestFit="1"/>
    <col min="4" max="4" style="13" width="16.719285714285714" customWidth="1" bestFit="1"/>
    <col min="5" max="5" style="13" width="16.719285714285714" customWidth="1" bestFit="1"/>
    <col min="6" max="6" style="13" width="12.43357142857143" customWidth="1" bestFit="1"/>
  </cols>
  <sheetData>
    <row x14ac:dyDescent="0.25" r="1" customHeight="1" ht="17.25">
      <c r="A1" s="7" t="s">
        <v>278</v>
      </c>
      <c r="B1" s="7"/>
      <c r="C1" s="14"/>
      <c r="D1" s="7"/>
      <c r="E1" s="7"/>
      <c r="F1" s="7"/>
    </row>
    <row x14ac:dyDescent="0.25" r="2" customHeight="1" ht="17.25" customFormat="1" s="9">
      <c r="A2" s="10" t="s">
        <v>279</v>
      </c>
      <c r="B2" s="11"/>
      <c r="C2" s="28"/>
      <c r="D2" s="11"/>
      <c r="E2" s="11"/>
      <c r="F2" s="11"/>
    </row>
    <row x14ac:dyDescent="0.25" r="3" customHeight="1" ht="17.25" customFormat="1" s="9">
      <c r="A3" s="10" t="s">
        <v>280</v>
      </c>
      <c r="B3" s="10"/>
      <c r="C3" s="29"/>
      <c r="D3" s="10"/>
      <c r="E3" s="10"/>
      <c r="F3" s="11"/>
    </row>
    <row x14ac:dyDescent="0.25" r="4" customHeight="1" ht="17.25">
      <c r="A4" s="8"/>
      <c r="B4" s="8"/>
      <c r="C4" s="30"/>
      <c r="D4" s="8"/>
      <c r="E4" s="8"/>
      <c r="F4" s="8"/>
    </row>
    <row x14ac:dyDescent="0.25" r="5" customHeight="1" ht="17.25">
      <c r="A5" s="19" t="s">
        <v>281</v>
      </c>
      <c r="B5" s="19"/>
      <c r="C5" s="20"/>
      <c r="D5" s="19"/>
      <c r="E5" s="19"/>
      <c r="F5" s="8"/>
    </row>
    <row x14ac:dyDescent="0.25" r="6" customHeight="1" ht="17.25">
      <c r="A6" s="12" t="s">
        <v>239</v>
      </c>
      <c r="B6" s="12" t="s">
        <v>240</v>
      </c>
      <c r="C6" s="2" t="s">
        <v>1</v>
      </c>
      <c r="D6" s="12" t="s">
        <v>2</v>
      </c>
      <c r="E6" s="12" t="s">
        <v>3</v>
      </c>
      <c r="F6" s="8"/>
    </row>
    <row x14ac:dyDescent="0.25" r="7" customHeight="1" ht="17.25">
      <c r="A7" s="3" t="s">
        <v>42</v>
      </c>
      <c r="B7" s="3" t="s">
        <v>264</v>
      </c>
      <c r="C7" s="4">
        <f>'RAW_INPUTS'!$B$27</f>
      </c>
      <c r="D7" s="3" t="s">
        <v>5</v>
      </c>
      <c r="E7" s="3" t="s">
        <v>43</v>
      </c>
      <c r="F7" s="8"/>
    </row>
    <row x14ac:dyDescent="0.25" r="8" customHeight="1" ht="17.25">
      <c r="A8" s="3" t="s">
        <v>44</v>
      </c>
      <c r="B8" s="3" t="s">
        <v>264</v>
      </c>
      <c r="C8" s="4">
        <f>'RAW_INPUTS'!$B$28</f>
      </c>
      <c r="D8" s="3" t="s">
        <v>5</v>
      </c>
      <c r="E8" s="3" t="s">
        <v>45</v>
      </c>
      <c r="F8" s="8"/>
    </row>
    <row x14ac:dyDescent="0.25" r="9" customHeight="1" ht="17.25">
      <c r="A9" s="3" t="s">
        <v>46</v>
      </c>
      <c r="B9" s="3" t="s">
        <v>264</v>
      </c>
      <c r="C9" s="4">
        <f>'RAW_INPUTS'!$B$29</f>
      </c>
      <c r="D9" s="3" t="s">
        <v>5</v>
      </c>
      <c r="E9" s="3" t="s">
        <v>47</v>
      </c>
      <c r="F9" s="8"/>
    </row>
    <row x14ac:dyDescent="0.25" r="10" customHeight="1" ht="17.25">
      <c r="A10" s="3" t="s">
        <v>48</v>
      </c>
      <c r="B10" s="3" t="s">
        <v>264</v>
      </c>
      <c r="C10" s="4">
        <f>'RAW_INPUTS'!$B$30</f>
      </c>
      <c r="D10" s="3" t="s">
        <v>5</v>
      </c>
      <c r="E10" s="3" t="s">
        <v>49</v>
      </c>
      <c r="F10" s="8"/>
    </row>
    <row x14ac:dyDescent="0.25" r="11" customHeight="1" ht="17.25">
      <c r="A11" s="3" t="s">
        <v>50</v>
      </c>
      <c r="B11" s="3" t="s">
        <v>264</v>
      </c>
      <c r="C11" s="4">
        <f>'RAW_INPUTS'!$B$31</f>
      </c>
      <c r="D11" s="3" t="s">
        <v>5</v>
      </c>
      <c r="E11" s="3" t="s">
        <v>51</v>
      </c>
      <c r="F11" s="8"/>
    </row>
    <row x14ac:dyDescent="0.25" r="12" customHeight="1" ht="17.25">
      <c r="A12" s="8"/>
      <c r="B12" s="8"/>
      <c r="C12" s="30"/>
      <c r="D12" s="8"/>
      <c r="E12" s="8"/>
      <c r="F12" s="8"/>
    </row>
    <row x14ac:dyDescent="0.25" r="13" customHeight="1" ht="17.25">
      <c r="A13" s="19" t="s">
        <v>282</v>
      </c>
      <c r="B13" s="19"/>
      <c r="C13" s="20"/>
      <c r="D13" s="19"/>
      <c r="E13" s="19"/>
      <c r="F13" s="8"/>
    </row>
    <row x14ac:dyDescent="0.25" r="14" customHeight="1" ht="17.25">
      <c r="A14" s="12" t="s">
        <v>239</v>
      </c>
      <c r="B14" s="12" t="s">
        <v>240</v>
      </c>
      <c r="C14" s="2" t="s">
        <v>1</v>
      </c>
      <c r="D14" s="12" t="s">
        <v>2</v>
      </c>
      <c r="E14" s="12" t="s">
        <v>3</v>
      </c>
      <c r="F14" s="8"/>
    </row>
    <row x14ac:dyDescent="0.25" r="15" customHeight="1" ht="17.25">
      <c r="A15" s="3" t="s">
        <v>30</v>
      </c>
      <c r="B15" s="3" t="s">
        <v>267</v>
      </c>
      <c r="C15" s="4">
        <f>'RAW_INPUTS'!$B$32</f>
      </c>
      <c r="D15" s="3" t="s">
        <v>5</v>
      </c>
      <c r="E15" s="3" t="s">
        <v>52</v>
      </c>
      <c r="F15" s="8"/>
    </row>
    <row x14ac:dyDescent="0.25" r="16" customHeight="1" ht="17.25">
      <c r="A16" s="3" t="s">
        <v>53</v>
      </c>
      <c r="B16" s="3" t="s">
        <v>267</v>
      </c>
      <c r="C16" s="4">
        <f>'RAW_INPUTS'!$B$33</f>
      </c>
      <c r="D16" s="3" t="s">
        <v>5</v>
      </c>
      <c r="E16" s="3" t="s">
        <v>54</v>
      </c>
      <c r="F16" s="8"/>
    </row>
    <row x14ac:dyDescent="0.25" r="17" customHeight="1" ht="17.25">
      <c r="A17" s="3" t="s">
        <v>55</v>
      </c>
      <c r="B17" s="3" t="s">
        <v>267</v>
      </c>
      <c r="C17" s="4">
        <f>'RAW_INPUTS'!$B$34</f>
      </c>
      <c r="D17" s="3" t="s">
        <v>5</v>
      </c>
      <c r="E17" s="3" t="s">
        <v>56</v>
      </c>
      <c r="F17" s="8"/>
    </row>
    <row x14ac:dyDescent="0.25" r="18" customHeight="1" ht="17.25">
      <c r="A18" s="3" t="s">
        <v>32</v>
      </c>
      <c r="B18" s="3" t="s">
        <v>267</v>
      </c>
      <c r="C18" s="4">
        <f>'RAW_INPUTS'!$B$35</f>
      </c>
      <c r="D18" s="3" t="s">
        <v>5</v>
      </c>
      <c r="E18" s="3" t="s">
        <v>57</v>
      </c>
      <c r="F18" s="8"/>
    </row>
    <row x14ac:dyDescent="0.25" r="19" customHeight="1" ht="17.25">
      <c r="A19" s="3" t="s">
        <v>33</v>
      </c>
      <c r="B19" s="3" t="s">
        <v>267</v>
      </c>
      <c r="C19" s="4">
        <f>'RAW_INPUTS'!$B$36</f>
      </c>
      <c r="D19" s="3" t="s">
        <v>5</v>
      </c>
      <c r="E19" s="3" t="s">
        <v>58</v>
      </c>
      <c r="F19" s="8"/>
    </row>
    <row x14ac:dyDescent="0.25" r="20" customHeight="1" ht="17.25">
      <c r="A20" s="8"/>
      <c r="B20" s="8"/>
      <c r="C20" s="30"/>
      <c r="D20" s="8"/>
      <c r="E20" s="8"/>
      <c r="F20" s="8"/>
    </row>
    <row x14ac:dyDescent="0.25" r="21" customHeight="1" ht="17.25">
      <c r="A21" s="19" t="s">
        <v>283</v>
      </c>
      <c r="B21" s="19"/>
      <c r="C21" s="20"/>
      <c r="D21" s="19"/>
      <c r="E21" s="19"/>
      <c r="F21" s="8"/>
    </row>
    <row x14ac:dyDescent="0.25" r="22" customHeight="1" ht="17.25">
      <c r="A22" s="12" t="s">
        <v>239</v>
      </c>
      <c r="B22" s="12" t="s">
        <v>240</v>
      </c>
      <c r="C22" s="2" t="s">
        <v>1</v>
      </c>
      <c r="D22" s="12" t="s">
        <v>2</v>
      </c>
      <c r="E22" s="12" t="s">
        <v>3</v>
      </c>
      <c r="F22" s="8"/>
    </row>
    <row x14ac:dyDescent="0.25" r="23" customHeight="1" ht="17.25">
      <c r="A23" s="3" t="s">
        <v>36</v>
      </c>
      <c r="B23" s="3" t="s">
        <v>267</v>
      </c>
      <c r="C23" s="4">
        <f>'RAW_INPUTS'!$B$37</f>
      </c>
      <c r="D23" s="3" t="s">
        <v>5</v>
      </c>
      <c r="E23" s="3" t="s">
        <v>59</v>
      </c>
      <c r="F23" s="8"/>
    </row>
    <row x14ac:dyDescent="0.25" r="24" customHeight="1" ht="17.25">
      <c r="A24" s="3" t="s">
        <v>38</v>
      </c>
      <c r="B24" s="3" t="s">
        <v>267</v>
      </c>
      <c r="C24" s="4">
        <f>'RAW_INPUTS'!$B$38</f>
      </c>
      <c r="D24" s="3" t="s">
        <v>5</v>
      </c>
      <c r="E24" s="3" t="s">
        <v>60</v>
      </c>
      <c r="F24" s="8"/>
    </row>
    <row x14ac:dyDescent="0.25" r="25" customHeight="1" ht="17.25">
      <c r="A25" s="3" t="s">
        <v>39</v>
      </c>
      <c r="B25" s="3" t="s">
        <v>267</v>
      </c>
      <c r="C25" s="4">
        <f>'RAW_INPUTS'!$B$39</f>
      </c>
      <c r="D25" s="3" t="s">
        <v>5</v>
      </c>
      <c r="E25" s="3" t="s">
        <v>61</v>
      </c>
      <c r="F25" s="8"/>
    </row>
    <row x14ac:dyDescent="0.25" r="26" customHeight="1" ht="17.25">
      <c r="A26" s="3" t="s">
        <v>62</v>
      </c>
      <c r="B26" s="3" t="s">
        <v>264</v>
      </c>
      <c r="C26" s="4">
        <f>'RAW_INPUTS'!$B$40</f>
      </c>
      <c r="D26" s="3" t="s">
        <v>5</v>
      </c>
      <c r="E26" s="3" t="s">
        <v>63</v>
      </c>
      <c r="F26" s="8"/>
    </row>
  </sheetData>
  <mergeCells count="5">
    <mergeCell ref="A1:F1"/>
    <mergeCell ref="A3:E3"/>
    <mergeCell ref="A5:E5"/>
    <mergeCell ref="A13:E13"/>
    <mergeCell ref="A21:E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0"/>
  <sheetViews>
    <sheetView workbookViewId="0">
      <pane state="frozen" activePane="bottomLeft" topLeftCell="A3" ySplit="2" xSplit="0"/>
    </sheetView>
  </sheetViews>
  <sheetFormatPr defaultRowHeight="15" x14ac:dyDescent="0.25"/>
  <cols>
    <col min="1" max="1" style="13" width="22.719285714285714" customWidth="1" bestFit="1"/>
    <col min="2" max="2" style="13" width="16.719285714285714" customWidth="1" bestFit="1"/>
    <col min="3" max="3" style="25" width="16.719285714285714" customWidth="1" bestFit="1"/>
    <col min="4" max="4" style="13" width="16.719285714285714" customWidth="1" bestFit="1"/>
    <col min="5" max="5" style="13" width="16.719285714285714" customWidth="1" bestFit="1"/>
    <col min="6" max="6" style="13" width="16.719285714285714" customWidth="1" bestFit="1"/>
  </cols>
  <sheetData>
    <row x14ac:dyDescent="0.25" r="1" customHeight="1" ht="17.25">
      <c r="A1" s="7" t="s">
        <v>261</v>
      </c>
      <c r="B1" s="7"/>
      <c r="C1" s="14"/>
      <c r="D1" s="7"/>
      <c r="E1" s="7"/>
      <c r="F1" s="7"/>
    </row>
    <row x14ac:dyDescent="0.25" r="2" customHeight="1" ht="17.25" customFormat="1" s="9">
      <c r="A2" s="10" t="s">
        <v>262</v>
      </c>
      <c r="B2" s="11"/>
      <c r="C2" s="15"/>
      <c r="D2" s="11"/>
      <c r="E2" s="11"/>
      <c r="F2" s="11"/>
    </row>
    <row x14ac:dyDescent="0.25" r="3" customHeight="1" ht="17.25">
      <c r="A3" s="8"/>
      <c r="B3" s="8"/>
      <c r="C3" s="16"/>
      <c r="D3" s="8"/>
      <c r="E3" s="8"/>
      <c r="F3" s="8"/>
    </row>
    <row x14ac:dyDescent="0.25" r="4" customHeight="1" ht="17.25">
      <c r="A4" s="19" t="s">
        <v>263</v>
      </c>
      <c r="B4" s="19"/>
      <c r="C4" s="20"/>
      <c r="D4" s="19"/>
      <c r="E4" s="19"/>
      <c r="F4" s="19"/>
    </row>
    <row x14ac:dyDescent="0.25" r="5" customHeight="1" ht="17.25">
      <c r="A5" s="12" t="s">
        <v>239</v>
      </c>
      <c r="B5" s="12" t="s">
        <v>240</v>
      </c>
      <c r="C5" s="2" t="s">
        <v>1</v>
      </c>
      <c r="D5" s="12" t="s">
        <v>2</v>
      </c>
      <c r="E5" s="12" t="s">
        <v>241</v>
      </c>
      <c r="F5" s="12" t="s">
        <v>210</v>
      </c>
    </row>
    <row x14ac:dyDescent="0.25" r="6" customHeight="1" ht="17.25">
      <c r="A6" s="3" t="s">
        <v>28</v>
      </c>
      <c r="B6" s="3" t="s">
        <v>264</v>
      </c>
      <c r="C6" s="4">
        <f>'RAW_INPUTS'!$B$41</f>
      </c>
      <c r="D6" s="3" t="s">
        <v>5</v>
      </c>
      <c r="E6" s="3" t="s">
        <v>64</v>
      </c>
      <c r="F6" s="21" t="s">
        <v>155</v>
      </c>
    </row>
    <row x14ac:dyDescent="0.25" r="7" customHeight="1" ht="17.25">
      <c r="A7" s="3" t="s">
        <v>65</v>
      </c>
      <c r="B7" s="3" t="s">
        <v>264</v>
      </c>
      <c r="C7" s="4">
        <f>'RAW_INPUTS'!$B$42</f>
      </c>
      <c r="D7" s="3" t="s">
        <v>5</v>
      </c>
      <c r="E7" s="3" t="s">
        <v>66</v>
      </c>
      <c r="F7" s="21" t="s">
        <v>155</v>
      </c>
    </row>
    <row x14ac:dyDescent="0.25" r="8" customHeight="1" ht="17.25">
      <c r="A8" s="3" t="s">
        <v>67</v>
      </c>
      <c r="B8" s="3" t="s">
        <v>264</v>
      </c>
      <c r="C8" s="4">
        <f>'RAW_INPUTS'!$B$43</f>
      </c>
      <c r="D8" s="3" t="s">
        <v>5</v>
      </c>
      <c r="E8" s="3" t="s">
        <v>68</v>
      </c>
      <c r="F8" s="21" t="s">
        <v>155</v>
      </c>
    </row>
    <row x14ac:dyDescent="0.25" r="9" customHeight="1" ht="17.25">
      <c r="A9" s="3" t="s">
        <v>69</v>
      </c>
      <c r="B9" s="3" t="s">
        <v>264</v>
      </c>
      <c r="C9" s="4">
        <f>'RAW_INPUTS'!$B$44</f>
      </c>
      <c r="D9" s="3" t="s">
        <v>5</v>
      </c>
      <c r="E9" s="3" t="s">
        <v>70</v>
      </c>
      <c r="F9" s="21" t="s">
        <v>155</v>
      </c>
    </row>
    <row x14ac:dyDescent="0.25" r="10" customHeight="1" ht="17.25">
      <c r="A10" s="8"/>
      <c r="B10" s="8"/>
      <c r="C10" s="16"/>
      <c r="D10" s="8"/>
      <c r="E10" s="8"/>
      <c r="F10" s="8"/>
    </row>
    <row x14ac:dyDescent="0.25" r="11" customHeight="1" ht="17.25">
      <c r="A11" s="19" t="s">
        <v>265</v>
      </c>
      <c r="B11" s="19"/>
      <c r="C11" s="20"/>
      <c r="D11" s="19"/>
      <c r="E11" s="19"/>
      <c r="F11" s="19"/>
    </row>
    <row x14ac:dyDescent="0.25" r="12" customHeight="1" ht="17.25">
      <c r="A12" s="12" t="s">
        <v>239</v>
      </c>
      <c r="B12" s="12" t="s">
        <v>240</v>
      </c>
      <c r="C12" s="2" t="s">
        <v>1</v>
      </c>
      <c r="D12" s="12" t="s">
        <v>2</v>
      </c>
      <c r="E12" s="12" t="s">
        <v>241</v>
      </c>
      <c r="F12" s="12" t="s">
        <v>210</v>
      </c>
    </row>
    <row x14ac:dyDescent="0.25" r="13" customHeight="1" ht="17.25">
      <c r="A13" s="3" t="s">
        <v>71</v>
      </c>
      <c r="B13" s="3" t="s">
        <v>264</v>
      </c>
      <c r="C13" s="4">
        <f>'RAW_INPUTS'!$B$45</f>
      </c>
      <c r="D13" s="3" t="s">
        <v>72</v>
      </c>
      <c r="E13" s="3" t="s">
        <v>73</v>
      </c>
      <c r="F13" s="21" t="s">
        <v>155</v>
      </c>
    </row>
    <row x14ac:dyDescent="0.25" r="14" customHeight="1" ht="17.25">
      <c r="A14" s="3" t="s">
        <v>74</v>
      </c>
      <c r="B14" s="3" t="s">
        <v>264</v>
      </c>
      <c r="C14" s="4">
        <f>'RAW_INPUTS'!$B$46</f>
      </c>
      <c r="D14" s="3" t="s">
        <v>72</v>
      </c>
      <c r="E14" s="3" t="s">
        <v>75</v>
      </c>
      <c r="F14" s="21" t="s">
        <v>155</v>
      </c>
    </row>
    <row x14ac:dyDescent="0.25" r="15" customHeight="1" ht="17.25">
      <c r="A15" s="3" t="s">
        <v>76</v>
      </c>
      <c r="B15" s="3" t="s">
        <v>264</v>
      </c>
      <c r="C15" s="4">
        <f>'RAW_INPUTS'!$B$47</f>
      </c>
      <c r="D15" s="3" t="s">
        <v>72</v>
      </c>
      <c r="E15" s="3" t="s">
        <v>77</v>
      </c>
      <c r="F15" s="21" t="s">
        <v>155</v>
      </c>
    </row>
    <row x14ac:dyDescent="0.25" r="16" customHeight="1" ht="17.25">
      <c r="A16" s="8"/>
      <c r="B16" s="8"/>
      <c r="C16" s="16"/>
      <c r="D16" s="8"/>
      <c r="E16" s="8"/>
      <c r="F16" s="8"/>
    </row>
    <row x14ac:dyDescent="0.25" r="17" customHeight="1" ht="17.25">
      <c r="A17" s="19" t="s">
        <v>266</v>
      </c>
      <c r="B17" s="19"/>
      <c r="C17" s="20"/>
      <c r="D17" s="19"/>
      <c r="E17" s="19"/>
      <c r="F17" s="19"/>
    </row>
    <row x14ac:dyDescent="0.25" r="18" customHeight="1" ht="17.25">
      <c r="A18" s="12" t="s">
        <v>239</v>
      </c>
      <c r="B18" s="12" t="s">
        <v>240</v>
      </c>
      <c r="C18" s="2" t="s">
        <v>1</v>
      </c>
      <c r="D18" s="12" t="s">
        <v>2</v>
      </c>
      <c r="E18" s="12" t="s">
        <v>241</v>
      </c>
      <c r="F18" s="12" t="s">
        <v>210</v>
      </c>
    </row>
    <row x14ac:dyDescent="0.25" r="19" customHeight="1" ht="17.25">
      <c r="A19" s="3" t="s">
        <v>78</v>
      </c>
      <c r="B19" s="3" t="s">
        <v>267</v>
      </c>
      <c r="C19" s="4">
        <f>'RAW_INPUTS'!$B$48</f>
      </c>
      <c r="D19" s="3"/>
      <c r="E19" s="3" t="s">
        <v>79</v>
      </c>
      <c r="F19" s="21" t="s">
        <v>155</v>
      </c>
    </row>
    <row x14ac:dyDescent="0.25" r="20" customHeight="1" ht="17.25">
      <c r="A20" s="3" t="s">
        <v>80</v>
      </c>
      <c r="B20" s="3" t="s">
        <v>267</v>
      </c>
      <c r="C20" s="4">
        <f>'RAW_INPUTS'!$B$49</f>
      </c>
      <c r="D20" s="3"/>
      <c r="E20" s="3" t="s">
        <v>81</v>
      </c>
      <c r="F20" s="21" t="s">
        <v>155</v>
      </c>
    </row>
    <row x14ac:dyDescent="0.25" r="21" customHeight="1" ht="17.25">
      <c r="A21" s="3" t="s">
        <v>82</v>
      </c>
      <c r="B21" s="3" t="s">
        <v>267</v>
      </c>
      <c r="C21" s="4">
        <f>'RAW_INPUTS'!$B$50</f>
      </c>
      <c r="D21" s="3"/>
      <c r="E21" s="3" t="s">
        <v>83</v>
      </c>
      <c r="F21" s="21" t="s">
        <v>155</v>
      </c>
    </row>
    <row x14ac:dyDescent="0.25" r="22" customHeight="1" ht="17.25">
      <c r="A22" s="8"/>
      <c r="B22" s="8"/>
      <c r="C22" s="16"/>
      <c r="D22" s="8"/>
      <c r="E22" s="8"/>
      <c r="F22" s="8"/>
    </row>
    <row x14ac:dyDescent="0.25" r="23" customHeight="1" ht="17.25">
      <c r="A23" s="19" t="s">
        <v>268</v>
      </c>
      <c r="B23" s="19"/>
      <c r="C23" s="20"/>
      <c r="D23" s="19"/>
      <c r="E23" s="19"/>
      <c r="F23" s="19"/>
    </row>
    <row x14ac:dyDescent="0.25" r="24" customHeight="1" ht="17.25">
      <c r="A24" s="12" t="s">
        <v>239</v>
      </c>
      <c r="B24" s="12" t="s">
        <v>240</v>
      </c>
      <c r="C24" s="2" t="s">
        <v>1</v>
      </c>
      <c r="D24" s="12" t="s">
        <v>2</v>
      </c>
      <c r="E24" s="12" t="s">
        <v>3</v>
      </c>
      <c r="F24" s="8"/>
    </row>
    <row x14ac:dyDescent="0.25" r="25" customHeight="1" ht="17.25">
      <c r="A25" s="3" t="s">
        <v>84</v>
      </c>
      <c r="B25" s="3" t="s">
        <v>267</v>
      </c>
      <c r="C25" s="4">
        <f>'RAW_INPUTS'!$B$51</f>
      </c>
      <c r="D25" s="3" t="s">
        <v>5</v>
      </c>
      <c r="E25" s="3" t="s">
        <v>85</v>
      </c>
      <c r="F25" s="8"/>
    </row>
    <row x14ac:dyDescent="0.25" r="26" customHeight="1" ht="17.25">
      <c r="A26" s="3" t="s">
        <v>86</v>
      </c>
      <c r="B26" s="3" t="s">
        <v>267</v>
      </c>
      <c r="C26" s="4">
        <f>IFERROR('RAW_INPUTS'!$B$51/(('RAW_INPUTS'!$B$2+'RAW_INPUTS'!$B$3)/2)*100,"")</f>
      </c>
      <c r="D26" s="3"/>
      <c r="E26" s="3" t="s">
        <v>87</v>
      </c>
      <c r="F26" s="8"/>
    </row>
    <row x14ac:dyDescent="0.25" r="27" customHeight="1" ht="17.25">
      <c r="A27" s="19" t="s">
        <v>269</v>
      </c>
      <c r="B27" s="19"/>
      <c r="C27" s="20"/>
      <c r="D27" s="19"/>
      <c r="E27" s="19"/>
      <c r="F27" s="19"/>
    </row>
    <row x14ac:dyDescent="0.25" r="28" customHeight="1" ht="17.25">
      <c r="A28" s="12" t="s">
        <v>270</v>
      </c>
      <c r="B28" s="12" t="s">
        <v>271</v>
      </c>
      <c r="C28" s="2" t="s">
        <v>209</v>
      </c>
      <c r="D28" s="12" t="s">
        <v>210</v>
      </c>
      <c r="E28" s="12"/>
      <c r="F28" s="12"/>
    </row>
    <row x14ac:dyDescent="0.25" r="29" customHeight="1" ht="17.25" customFormat="1" s="9">
      <c r="A29" s="3" t="s">
        <v>272</v>
      </c>
      <c r="B29" s="3" t="s">
        <v>273</v>
      </c>
      <c r="C29" s="18"/>
      <c r="D29" s="3"/>
      <c r="E29" s="3" t="s">
        <v>274</v>
      </c>
      <c r="F29" s="21" t="s">
        <v>155</v>
      </c>
    </row>
    <row x14ac:dyDescent="0.25" r="30" customHeight="1" ht="17.25" customFormat="1" s="9">
      <c r="A30" s="3" t="s">
        <v>275</v>
      </c>
      <c r="B30" s="3" t="s">
        <v>276</v>
      </c>
      <c r="C30" s="18"/>
      <c r="D30" s="3"/>
      <c r="E30" s="3" t="s">
        <v>277</v>
      </c>
      <c r="F30" s="21" t="s">
        <v>155</v>
      </c>
    </row>
  </sheetData>
  <mergeCells count="8">
    <mergeCell ref="A1:F1"/>
    <mergeCell ref="A4:F4"/>
    <mergeCell ref="A11:F11"/>
    <mergeCell ref="A17:F17"/>
    <mergeCell ref="A23:F23"/>
    <mergeCell ref="A27:F27"/>
    <mergeCell ref="B29:D29"/>
    <mergeCell ref="B30:D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6"/>
  <sheetViews>
    <sheetView workbookViewId="0">
      <pane state="frozen" activePane="bottomLeft" topLeftCell="A3" ySplit="2" xSplit="0"/>
    </sheetView>
  </sheetViews>
  <sheetFormatPr defaultRowHeight="15" x14ac:dyDescent="0.25"/>
  <cols>
    <col min="1" max="1" style="13" width="22.719285714285714" customWidth="1" bestFit="1"/>
    <col min="2" max="2" style="13" width="16.719285714285714" customWidth="1" bestFit="1"/>
    <col min="3" max="3" style="13" width="16.719285714285714" customWidth="1" bestFit="1"/>
    <col min="4" max="4" style="13" width="16.719285714285714" customWidth="1" bestFit="1"/>
    <col min="5" max="5" style="13" width="16.719285714285714" customWidth="1" bestFit="1"/>
    <col min="6" max="6" style="13" width="16.719285714285714" customWidth="1" bestFit="1"/>
  </cols>
  <sheetData>
    <row x14ac:dyDescent="0.25" r="1" customHeight="1" ht="17.25">
      <c r="A1" s="7" t="s">
        <v>236</v>
      </c>
      <c r="B1" s="7"/>
      <c r="C1" s="7"/>
      <c r="D1" s="7"/>
      <c r="E1" s="7"/>
      <c r="F1" s="7"/>
    </row>
    <row x14ac:dyDescent="0.25" r="2" customHeight="1" ht="17.25" customFormat="1" s="9">
      <c r="A2" s="10" t="s">
        <v>237</v>
      </c>
      <c r="B2" s="11"/>
      <c r="C2" s="11"/>
      <c r="D2" s="11"/>
      <c r="E2" s="11"/>
      <c r="F2" s="11"/>
    </row>
    <row x14ac:dyDescent="0.25" r="3" customHeight="1" ht="17.25">
      <c r="A3" s="8"/>
      <c r="B3" s="8"/>
      <c r="C3" s="8"/>
      <c r="D3" s="8"/>
      <c r="E3" s="8"/>
      <c r="F3" s="8"/>
    </row>
    <row x14ac:dyDescent="0.25" r="4" customHeight="1" ht="17.25">
      <c r="A4" s="19" t="s">
        <v>238</v>
      </c>
      <c r="B4" s="19"/>
      <c r="C4" s="19"/>
      <c r="D4" s="19"/>
      <c r="E4" s="19"/>
      <c r="F4" s="19"/>
    </row>
    <row x14ac:dyDescent="0.25" r="5" customHeight="1" ht="17.25">
      <c r="A5" s="12" t="s">
        <v>239</v>
      </c>
      <c r="B5" s="12" t="s">
        <v>240</v>
      </c>
      <c r="C5" s="12" t="s">
        <v>1</v>
      </c>
      <c r="D5" s="12" t="s">
        <v>2</v>
      </c>
      <c r="E5" s="12" t="s">
        <v>241</v>
      </c>
      <c r="F5" s="12" t="s">
        <v>210</v>
      </c>
    </row>
    <row x14ac:dyDescent="0.25" r="6" customHeight="1" ht="17.25" customFormat="1" s="9">
      <c r="A6" s="3" t="s">
        <v>22</v>
      </c>
      <c r="B6" s="3"/>
      <c r="C6" s="3" t="s">
        <v>242</v>
      </c>
      <c r="D6" s="3"/>
      <c r="E6" s="3"/>
      <c r="F6" s="21" t="s">
        <v>155</v>
      </c>
    </row>
    <row x14ac:dyDescent="0.25" r="7" customHeight="1" ht="17.25" customFormat="1" s="9">
      <c r="A7" s="3" t="s">
        <v>40</v>
      </c>
      <c r="B7" s="3"/>
      <c r="C7" s="3" t="s">
        <v>242</v>
      </c>
      <c r="D7" s="3"/>
      <c r="E7" s="3"/>
      <c r="F7" s="21" t="s">
        <v>155</v>
      </c>
    </row>
    <row x14ac:dyDescent="0.25" r="8" customHeight="1" ht="17.25" customFormat="1" s="9">
      <c r="A8" s="3" t="s">
        <v>24</v>
      </c>
      <c r="B8" s="3"/>
      <c r="C8" s="3" t="s">
        <v>242</v>
      </c>
      <c r="D8" s="3"/>
      <c r="E8" s="3"/>
      <c r="F8" s="21" t="s">
        <v>155</v>
      </c>
    </row>
    <row x14ac:dyDescent="0.25" r="9" customHeight="1" ht="17.25" customFormat="1" s="9">
      <c r="A9" s="3" t="s">
        <v>243</v>
      </c>
      <c r="B9" s="3"/>
      <c r="C9" s="3" t="s">
        <v>242</v>
      </c>
      <c r="D9" s="3"/>
      <c r="E9" s="3"/>
      <c r="F9" s="21" t="s">
        <v>155</v>
      </c>
    </row>
    <row x14ac:dyDescent="0.25" r="10" customHeight="1" ht="17.25">
      <c r="A10" s="8"/>
      <c r="B10" s="8"/>
      <c r="C10" s="8"/>
      <c r="D10" s="8"/>
      <c r="E10" s="8"/>
      <c r="F10" s="8"/>
    </row>
    <row x14ac:dyDescent="0.25" r="11" customHeight="1" ht="17.25">
      <c r="A11" s="19" t="s">
        <v>244</v>
      </c>
      <c r="B11" s="19"/>
      <c r="C11" s="19"/>
      <c r="D11" s="19"/>
      <c r="E11" s="19"/>
      <c r="F11" s="19"/>
    </row>
    <row x14ac:dyDescent="0.25" r="12" customHeight="1" ht="17.25">
      <c r="A12" s="12" t="s">
        <v>239</v>
      </c>
      <c r="B12" s="12" t="s">
        <v>240</v>
      </c>
      <c r="C12" s="12" t="s">
        <v>1</v>
      </c>
      <c r="D12" s="12" t="s">
        <v>2</v>
      </c>
      <c r="E12" s="12" t="s">
        <v>241</v>
      </c>
      <c r="F12" s="12" t="s">
        <v>210</v>
      </c>
    </row>
    <row x14ac:dyDescent="0.25" r="13" customHeight="1" ht="17.25" customFormat="1" s="9">
      <c r="A13" s="3" t="s">
        <v>245</v>
      </c>
      <c r="B13" s="3"/>
      <c r="C13" s="3" t="s">
        <v>242</v>
      </c>
      <c r="D13" s="3"/>
      <c r="E13" s="3"/>
      <c r="F13" s="21" t="s">
        <v>155</v>
      </c>
    </row>
    <row x14ac:dyDescent="0.25" r="14" customHeight="1" ht="17.25">
      <c r="A14" s="8"/>
      <c r="B14" s="8"/>
      <c r="C14" s="8"/>
      <c r="D14" s="8"/>
      <c r="E14" s="8"/>
      <c r="F14" s="8"/>
    </row>
    <row x14ac:dyDescent="0.25" r="15" customHeight="1" ht="17.25">
      <c r="A15" s="19" t="s">
        <v>246</v>
      </c>
      <c r="B15" s="19"/>
      <c r="C15" s="19"/>
      <c r="D15" s="19"/>
      <c r="E15" s="19"/>
      <c r="F15" s="19"/>
    </row>
    <row x14ac:dyDescent="0.25" r="16" customHeight="1" ht="17.25">
      <c r="A16" s="12" t="s">
        <v>239</v>
      </c>
      <c r="B16" s="12" t="s">
        <v>240</v>
      </c>
      <c r="C16" s="12" t="s">
        <v>1</v>
      </c>
      <c r="D16" s="12" t="s">
        <v>2</v>
      </c>
      <c r="E16" s="12" t="s">
        <v>241</v>
      </c>
      <c r="F16" s="12" t="s">
        <v>210</v>
      </c>
    </row>
    <row x14ac:dyDescent="0.25" r="17" customHeight="1" ht="17.25" customFormat="1" s="9">
      <c r="A17" s="3" t="s">
        <v>247</v>
      </c>
      <c r="B17" s="3"/>
      <c r="C17" s="3" t="s">
        <v>242</v>
      </c>
      <c r="D17" s="3"/>
      <c r="E17" s="3"/>
      <c r="F17" s="21" t="s">
        <v>155</v>
      </c>
    </row>
    <row x14ac:dyDescent="0.25" r="18" customHeight="1" ht="17.25" customFormat="1" s="9">
      <c r="A18" s="3" t="s">
        <v>248</v>
      </c>
      <c r="B18" s="3"/>
      <c r="C18" s="3" t="s">
        <v>242</v>
      </c>
      <c r="D18" s="3"/>
      <c r="E18" s="3"/>
      <c r="F18" s="21" t="s">
        <v>155</v>
      </c>
    </row>
    <row x14ac:dyDescent="0.25" r="19" customHeight="1" ht="17.25">
      <c r="A19" s="8"/>
      <c r="B19" s="8"/>
      <c r="C19" s="8"/>
      <c r="D19" s="8"/>
      <c r="E19" s="8"/>
      <c r="F19" s="8"/>
    </row>
    <row x14ac:dyDescent="0.25" r="20" customHeight="1" ht="17.25">
      <c r="A20" s="19" t="s">
        <v>249</v>
      </c>
      <c r="B20" s="19"/>
      <c r="C20" s="19"/>
      <c r="D20" s="19"/>
      <c r="E20" s="19"/>
      <c r="F20" s="19"/>
    </row>
    <row x14ac:dyDescent="0.25" r="21" customHeight="1" ht="17.25">
      <c r="A21" s="12" t="s">
        <v>250</v>
      </c>
      <c r="B21" s="12" t="s">
        <v>251</v>
      </c>
      <c r="C21" s="12" t="s">
        <v>252</v>
      </c>
      <c r="D21" s="12" t="s">
        <v>2</v>
      </c>
      <c r="E21" s="12" t="s">
        <v>209</v>
      </c>
      <c r="F21" s="12" t="s">
        <v>210</v>
      </c>
    </row>
    <row x14ac:dyDescent="0.25" r="22" customHeight="1" ht="17.25">
      <c r="A22" s="3" t="s">
        <v>253</v>
      </c>
      <c r="B22" s="26" t="s">
        <v>254</v>
      </c>
      <c r="C22" s="3" t="s">
        <v>242</v>
      </c>
      <c r="D22" s="3"/>
      <c r="E22" s="3" t="s">
        <v>255</v>
      </c>
      <c r="F22" s="21" t="s">
        <v>155</v>
      </c>
    </row>
    <row x14ac:dyDescent="0.25" r="23" customHeight="1" ht="17.25">
      <c r="A23" s="8"/>
      <c r="B23" s="8"/>
      <c r="C23" s="8"/>
      <c r="D23" s="8"/>
      <c r="E23" s="8"/>
      <c r="F23" s="8"/>
    </row>
    <row x14ac:dyDescent="0.25" r="24" customHeight="1" ht="17.25">
      <c r="A24" s="19" t="s">
        <v>256</v>
      </c>
      <c r="B24" s="19"/>
      <c r="C24" s="19"/>
      <c r="D24" s="19"/>
      <c r="E24" s="19"/>
      <c r="F24" s="19"/>
    </row>
    <row x14ac:dyDescent="0.25" r="25" customHeight="1" ht="17.25">
      <c r="A25" s="27" t="s">
        <v>257</v>
      </c>
      <c r="B25" s="3" t="s">
        <v>258</v>
      </c>
      <c r="C25" s="3"/>
      <c r="D25" s="3"/>
      <c r="E25" s="3"/>
      <c r="F25" s="21" t="s">
        <v>160</v>
      </c>
    </row>
    <row x14ac:dyDescent="0.25" r="26" customHeight="1" ht="17.25">
      <c r="A26" s="27" t="s">
        <v>259</v>
      </c>
      <c r="B26" s="3" t="s">
        <v>260</v>
      </c>
      <c r="C26" s="3"/>
      <c r="D26" s="3"/>
      <c r="E26" s="3"/>
      <c r="F26" s="21" t="s">
        <v>155</v>
      </c>
    </row>
  </sheetData>
  <mergeCells count="8">
    <mergeCell ref="A1:F1"/>
    <mergeCell ref="A4:F4"/>
    <mergeCell ref="A11:F11"/>
    <mergeCell ref="A15:F15"/>
    <mergeCell ref="A20:F20"/>
    <mergeCell ref="A24:F24"/>
    <mergeCell ref="B25:E25"/>
    <mergeCell ref="B26:E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1"/>
  <sheetViews>
    <sheetView workbookViewId="0" tabSelected="1">
      <pane state="frozen" activePane="bottomLeft" topLeftCell="A3" ySplit="2" xSplit="0"/>
    </sheetView>
  </sheetViews>
  <sheetFormatPr defaultRowHeight="15" x14ac:dyDescent="0.25"/>
  <cols>
    <col min="1" max="1" style="13" width="20.719285714285714" customWidth="1" bestFit="1"/>
    <col min="2" max="2" style="25" width="18.719285714285714" customWidth="1" bestFit="1"/>
    <col min="3" max="3" style="13" width="18.719285714285714" customWidth="1" bestFit="1"/>
    <col min="4" max="4" style="13" width="18.719285714285714" customWidth="1" bestFit="1"/>
    <col min="5" max="5" style="13" width="18.719285714285714" customWidth="1" bestFit="1"/>
    <col min="6" max="6" style="13" width="12.43357142857143" customWidth="1" bestFit="1"/>
  </cols>
  <sheetData>
    <row x14ac:dyDescent="0.25" r="1" customHeight="1" ht="17.25">
      <c r="A1" s="7" t="s">
        <v>229</v>
      </c>
      <c r="B1" s="14"/>
      <c r="C1" s="7"/>
      <c r="D1" s="7"/>
      <c r="E1" s="7"/>
      <c r="F1" s="7"/>
    </row>
    <row x14ac:dyDescent="0.25" r="2" customHeight="1" ht="17.25" customFormat="1" s="9">
      <c r="A2" s="10" t="s">
        <v>205</v>
      </c>
      <c r="B2" s="15"/>
      <c r="C2" s="11"/>
      <c r="D2" s="11"/>
      <c r="E2" s="11"/>
      <c r="F2" s="11"/>
    </row>
    <row x14ac:dyDescent="0.25" r="3" customHeight="1" ht="17.25">
      <c r="A3" s="8"/>
      <c r="B3" s="16"/>
      <c r="C3" s="8"/>
      <c r="D3" s="8"/>
      <c r="E3" s="8"/>
      <c r="F3" s="8"/>
    </row>
    <row x14ac:dyDescent="0.25" r="4" customHeight="1" ht="17.25" customFormat="1" s="9">
      <c r="A4" s="17" t="s">
        <v>230</v>
      </c>
      <c r="B4" s="18"/>
      <c r="C4" s="3"/>
      <c r="D4" s="3"/>
      <c r="E4" s="3"/>
      <c r="F4" s="11"/>
    </row>
    <row x14ac:dyDescent="0.25" r="5" customHeight="1" ht="17.25" customFormat="1" s="9">
      <c r="A5" s="3"/>
      <c r="B5" s="18"/>
      <c r="C5" s="3"/>
      <c r="D5" s="3"/>
      <c r="E5" s="3"/>
      <c r="F5" s="11"/>
    </row>
    <row x14ac:dyDescent="0.25" r="6" customHeight="1" ht="17.25">
      <c r="A6" s="8"/>
      <c r="B6" s="16"/>
      <c r="C6" s="8"/>
      <c r="D6" s="8"/>
      <c r="E6" s="8"/>
      <c r="F6" s="8"/>
    </row>
    <row x14ac:dyDescent="0.25" r="7" customHeight="1" ht="17.25">
      <c r="A7" s="19" t="s">
        <v>231</v>
      </c>
      <c r="B7" s="20"/>
      <c r="C7" s="19"/>
      <c r="D7" s="19"/>
      <c r="E7" s="19"/>
      <c r="F7" s="8"/>
    </row>
    <row x14ac:dyDescent="0.25" r="8" customHeight="1" ht="17.25">
      <c r="A8" s="12" t="s">
        <v>208</v>
      </c>
      <c r="B8" s="2" t="s">
        <v>1</v>
      </c>
      <c r="C8" s="12" t="s">
        <v>2</v>
      </c>
      <c r="D8" s="12" t="s">
        <v>209</v>
      </c>
      <c r="E8" s="12" t="s">
        <v>210</v>
      </c>
      <c r="F8" s="8"/>
    </row>
    <row x14ac:dyDescent="0.25" r="9" customHeight="1" ht="17.25">
      <c r="A9" s="3" t="s">
        <v>88</v>
      </c>
      <c r="B9" s="4">
        <f>'RAW_INPUTS'!$B$53</f>
      </c>
      <c r="C9" s="3" t="s">
        <v>5</v>
      </c>
      <c r="D9" s="3" t="s">
        <v>89</v>
      </c>
      <c r="E9" s="21" t="s">
        <v>155</v>
      </c>
      <c r="F9" s="8"/>
    </row>
    <row x14ac:dyDescent="0.25" r="10" customHeight="1" ht="17.25">
      <c r="A10" s="3" t="s">
        <v>84</v>
      </c>
      <c r="B10" s="4">
        <f>'RAW_INPUTS'!$B$54</f>
      </c>
      <c r="C10" s="3" t="s">
        <v>5</v>
      </c>
      <c r="D10" s="3" t="s">
        <v>89</v>
      </c>
      <c r="E10" s="21" t="s">
        <v>155</v>
      </c>
      <c r="F10" s="8"/>
    </row>
    <row x14ac:dyDescent="0.25" r="11" customHeight="1" ht="17.25">
      <c r="A11" s="3" t="s">
        <v>90</v>
      </c>
      <c r="B11" s="4">
        <f>'RAW_INPUTS'!$B$55</f>
      </c>
      <c r="C11" s="3" t="s">
        <v>5</v>
      </c>
      <c r="D11" s="3" t="s">
        <v>89</v>
      </c>
      <c r="E11" s="21" t="s">
        <v>155</v>
      </c>
      <c r="F11" s="8"/>
    </row>
    <row x14ac:dyDescent="0.25" r="12" customHeight="1" ht="17.25">
      <c r="A12" s="3" t="s">
        <v>91</v>
      </c>
      <c r="B12" s="4">
        <f>IFERROR('RAW_INPUTS'!$B$54-'RAW_INPUTS'!$B$55,"")</f>
      </c>
      <c r="C12" s="3" t="s">
        <v>5</v>
      </c>
      <c r="D12" s="3" t="s">
        <v>92</v>
      </c>
      <c r="E12" s="21" t="s">
        <v>155</v>
      </c>
      <c r="F12" s="8"/>
    </row>
    <row x14ac:dyDescent="0.25" r="13" customHeight="1" ht="17.25">
      <c r="A13" s="3" t="s">
        <v>93</v>
      </c>
      <c r="B13" s="4">
        <f>IFERROR('RAW_INPUTS'!$B$53/'RAW_INPUTS'!$B$32*100,"")</f>
      </c>
      <c r="C13" s="3"/>
      <c r="D13" s="3" t="s">
        <v>94</v>
      </c>
      <c r="E13" s="21" t="s">
        <v>155</v>
      </c>
      <c r="F13" s="8"/>
    </row>
    <row x14ac:dyDescent="0.25" r="14" customHeight="1" ht="17.25">
      <c r="A14" s="3" t="s">
        <v>95</v>
      </c>
      <c r="B14" s="4">
        <f>IFERROR('RAW_INPUTS'!$B$54/(('RAW_INPUTS'!$B$2+'RAW_INPUTS'!$B$3)/2)*100,"")</f>
      </c>
      <c r="C14" s="3"/>
      <c r="D14" s="3" t="s">
        <v>96</v>
      </c>
      <c r="E14" s="21" t="s">
        <v>155</v>
      </c>
      <c r="F14" s="8"/>
    </row>
    <row x14ac:dyDescent="0.25" r="15" customHeight="1" ht="17.25">
      <c r="A15" s="19" t="s">
        <v>212</v>
      </c>
      <c r="B15" s="20"/>
      <c r="C15" s="19"/>
      <c r="D15" s="19"/>
      <c r="E15" s="19"/>
      <c r="F15" s="8"/>
    </row>
    <row x14ac:dyDescent="0.25" r="16" customHeight="1" ht="17.25">
      <c r="A16" s="12" t="s">
        <v>208</v>
      </c>
      <c r="B16" s="2" t="s">
        <v>1</v>
      </c>
      <c r="C16" s="12" t="s">
        <v>2</v>
      </c>
      <c r="D16" s="12" t="s">
        <v>209</v>
      </c>
      <c r="E16" s="12" t="s">
        <v>210</v>
      </c>
      <c r="F16" s="8"/>
    </row>
    <row x14ac:dyDescent="0.25" r="17" customHeight="1" ht="17.25">
      <c r="A17" s="3" t="s">
        <v>213</v>
      </c>
      <c r="B17" s="22" t="s">
        <v>232</v>
      </c>
      <c r="C17" s="3"/>
      <c r="D17" s="3" t="s">
        <v>215</v>
      </c>
      <c r="E17" s="21" t="s">
        <v>155</v>
      </c>
      <c r="F17" s="8"/>
    </row>
    <row x14ac:dyDescent="0.25" r="18" customHeight="1" ht="17.25">
      <c r="A18" s="8"/>
      <c r="B18" s="16"/>
      <c r="C18" s="8"/>
      <c r="D18" s="8"/>
      <c r="E18" s="8"/>
      <c r="F18" s="8"/>
    </row>
    <row x14ac:dyDescent="0.25" r="19" customHeight="1" ht="17.25">
      <c r="A19" s="19" t="s">
        <v>217</v>
      </c>
      <c r="B19" s="20"/>
      <c r="C19" s="19"/>
      <c r="D19" s="19"/>
      <c r="E19" s="19"/>
      <c r="F19" s="8"/>
    </row>
    <row x14ac:dyDescent="0.25" r="20" customHeight="1" ht="17.25">
      <c r="A20" s="12" t="s">
        <v>218</v>
      </c>
      <c r="B20" s="2" t="s">
        <v>219</v>
      </c>
      <c r="C20" s="12" t="s">
        <v>220</v>
      </c>
      <c r="D20" s="12" t="s">
        <v>210</v>
      </c>
      <c r="E20" s="12"/>
      <c r="F20" s="8"/>
    </row>
    <row x14ac:dyDescent="0.25" r="21" customHeight="1" ht="17.25">
      <c r="A21" s="3" t="s">
        <v>233</v>
      </c>
      <c r="B21" s="23" t="s">
        <v>222</v>
      </c>
      <c r="C21" s="3" t="s">
        <v>234</v>
      </c>
      <c r="D21" s="3" t="s">
        <v>235</v>
      </c>
      <c r="E21" s="3"/>
      <c r="F21" s="8"/>
    </row>
  </sheetData>
  <mergeCells count="6">
    <mergeCell ref="A1:F1"/>
    <mergeCell ref="A4:E5"/>
    <mergeCell ref="A7:E7"/>
    <mergeCell ref="A15:E15"/>
    <mergeCell ref="A19:E19"/>
    <mergeCell ref="D21:E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1"/>
  <sheetViews>
    <sheetView workbookViewId="0">
      <pane state="frozen" activePane="bottomLeft" topLeftCell="A3" ySplit="2" xSplit="0"/>
    </sheetView>
  </sheetViews>
  <sheetFormatPr defaultRowHeight="15" x14ac:dyDescent="0.25"/>
  <cols>
    <col min="1" max="1" style="13" width="20.719285714285714" customWidth="1" bestFit="1"/>
    <col min="2" max="2" style="25" width="18.719285714285714" customWidth="1" bestFit="1"/>
    <col min="3" max="3" style="13" width="18.719285714285714" customWidth="1" bestFit="1"/>
    <col min="4" max="4" style="13" width="18.719285714285714" customWidth="1" bestFit="1"/>
    <col min="5" max="5" style="13" width="18.719285714285714" customWidth="1" bestFit="1"/>
    <col min="6" max="6" style="13" width="12.43357142857143" customWidth="1" bestFit="1"/>
  </cols>
  <sheetData>
    <row x14ac:dyDescent="0.25" r="1" customHeight="1" ht="17.25">
      <c r="A1" s="7" t="s">
        <v>204</v>
      </c>
      <c r="B1" s="14"/>
      <c r="C1" s="7"/>
      <c r="D1" s="7"/>
      <c r="E1" s="7"/>
      <c r="F1" s="7"/>
    </row>
    <row x14ac:dyDescent="0.25" r="2" customHeight="1" ht="17.25" customFormat="1" s="9">
      <c r="A2" s="10" t="s">
        <v>205</v>
      </c>
      <c r="B2" s="15"/>
      <c r="C2" s="11"/>
      <c r="D2" s="11"/>
      <c r="E2" s="11"/>
      <c r="F2" s="11"/>
    </row>
    <row x14ac:dyDescent="0.25" r="3" customHeight="1" ht="17.25">
      <c r="A3" s="8"/>
      <c r="B3" s="16"/>
      <c r="C3" s="8"/>
      <c r="D3" s="8"/>
      <c r="E3" s="8"/>
      <c r="F3" s="8"/>
    </row>
    <row x14ac:dyDescent="0.25" r="4" customHeight="1" ht="17.25" customFormat="1" s="9">
      <c r="A4" s="17" t="s">
        <v>206</v>
      </c>
      <c r="B4" s="18"/>
      <c r="C4" s="3"/>
      <c r="D4" s="3"/>
      <c r="E4" s="3"/>
      <c r="F4" s="11"/>
    </row>
    <row x14ac:dyDescent="0.25" r="5" customHeight="1" ht="17.25" customFormat="1" s="9">
      <c r="A5" s="3"/>
      <c r="B5" s="18"/>
      <c r="C5" s="3"/>
      <c r="D5" s="3"/>
      <c r="E5" s="3"/>
      <c r="F5" s="11"/>
    </row>
    <row x14ac:dyDescent="0.25" r="6" customHeight="1" ht="17.25">
      <c r="A6" s="8"/>
      <c r="B6" s="16"/>
      <c r="C6" s="8"/>
      <c r="D6" s="8"/>
      <c r="E6" s="8"/>
      <c r="F6" s="8"/>
    </row>
    <row x14ac:dyDescent="0.25" r="7" customHeight="1" ht="17.25">
      <c r="A7" s="19" t="s">
        <v>207</v>
      </c>
      <c r="B7" s="20"/>
      <c r="C7" s="19"/>
      <c r="D7" s="19"/>
      <c r="E7" s="19"/>
      <c r="F7" s="8"/>
    </row>
    <row x14ac:dyDescent="0.25" r="8" customHeight="1" ht="17.25">
      <c r="A8" s="12" t="s">
        <v>208</v>
      </c>
      <c r="B8" s="2" t="s">
        <v>1</v>
      </c>
      <c r="C8" s="12" t="s">
        <v>2</v>
      </c>
      <c r="D8" s="12" t="s">
        <v>209</v>
      </c>
      <c r="E8" s="12" t="s">
        <v>210</v>
      </c>
      <c r="F8" s="8"/>
    </row>
    <row x14ac:dyDescent="0.25" r="9" customHeight="1" ht="17.25">
      <c r="A9" s="3" t="s">
        <v>9</v>
      </c>
      <c r="B9" s="4">
        <f>'RAW_INPUTS'!$B$59</f>
      </c>
      <c r="C9" s="3" t="s">
        <v>5</v>
      </c>
      <c r="D9" s="3" t="s">
        <v>97</v>
      </c>
      <c r="E9" s="21" t="s">
        <v>160</v>
      </c>
      <c r="F9" s="8"/>
    </row>
    <row x14ac:dyDescent="0.25" r="10" customHeight="1" ht="17.25">
      <c r="A10" s="3" t="s">
        <v>98</v>
      </c>
      <c r="B10" s="4">
        <f>IFERROR('RAW_INPUTS'!$B$5-'RAW_INPUTS'!$B$4,"")</f>
      </c>
      <c r="C10" s="3" t="s">
        <v>5</v>
      </c>
      <c r="D10" s="3" t="s">
        <v>99</v>
      </c>
      <c r="E10" s="21" t="s">
        <v>160</v>
      </c>
      <c r="F10" s="8"/>
    </row>
    <row x14ac:dyDescent="0.25" r="11" customHeight="1" ht="17.25">
      <c r="A11" s="3" t="s">
        <v>8</v>
      </c>
      <c r="B11" s="4">
        <f>'RAW_INPUTS'!$B$4</f>
      </c>
      <c r="C11" s="3" t="s">
        <v>5</v>
      </c>
      <c r="D11" s="3" t="s">
        <v>99</v>
      </c>
      <c r="E11" s="21" t="s">
        <v>160</v>
      </c>
      <c r="F11" s="8"/>
    </row>
    <row x14ac:dyDescent="0.25" r="12" customHeight="1" ht="17.25">
      <c r="A12" s="3" t="s">
        <v>100</v>
      </c>
      <c r="B12" s="4">
        <f>IFERROR('RAW_INPUTS'!$B$60/'RAW_INPUTS'!$B$5*100,"")</f>
      </c>
      <c r="C12" s="3"/>
      <c r="D12" s="3" t="s">
        <v>99</v>
      </c>
      <c r="E12" s="21" t="s">
        <v>160</v>
      </c>
      <c r="F12" s="8"/>
    </row>
    <row x14ac:dyDescent="0.25" r="13" customHeight="1" ht="17.25">
      <c r="A13" s="3" t="s">
        <v>101</v>
      </c>
      <c r="B13" s="4">
        <f>'RAW_INPUTS'!$B$63</f>
      </c>
      <c r="C13" s="3" t="s">
        <v>5</v>
      </c>
      <c r="D13" s="3" t="s">
        <v>102</v>
      </c>
      <c r="E13" s="21" t="s">
        <v>160</v>
      </c>
      <c r="F13" s="8"/>
    </row>
    <row x14ac:dyDescent="0.25" r="14" customHeight="1" ht="17.25">
      <c r="A14" s="3" t="s">
        <v>103</v>
      </c>
      <c r="B14" s="4">
        <f>'RAW_INPUTS'!$B$64</f>
      </c>
      <c r="C14" s="3" t="s">
        <v>5</v>
      </c>
      <c r="D14" s="3" t="s">
        <v>102</v>
      </c>
      <c r="E14" s="21" t="s">
        <v>160</v>
      </c>
      <c r="F14" s="8"/>
    </row>
    <row x14ac:dyDescent="0.25" r="15" customHeight="1" ht="17.25">
      <c r="A15" s="3" t="s">
        <v>104</v>
      </c>
      <c r="B15" s="4">
        <f>'RAW_INPUTS'!$B$65</f>
      </c>
      <c r="C15" s="3" t="s">
        <v>5</v>
      </c>
      <c r="D15" s="3" t="s">
        <v>102</v>
      </c>
      <c r="E15" s="21" t="s">
        <v>160</v>
      </c>
      <c r="F15" s="8"/>
    </row>
    <row x14ac:dyDescent="0.25" r="16" customHeight="1" ht="17.25">
      <c r="A16" s="19" t="s">
        <v>211</v>
      </c>
      <c r="B16" s="20"/>
      <c r="C16" s="19"/>
      <c r="D16" s="19"/>
      <c r="E16" s="19"/>
      <c r="F16" s="8"/>
    </row>
    <row x14ac:dyDescent="0.25" r="17" customHeight="1" ht="17.25">
      <c r="A17" s="12" t="s">
        <v>208</v>
      </c>
      <c r="B17" s="2" t="s">
        <v>1</v>
      </c>
      <c r="C17" s="12" t="s">
        <v>2</v>
      </c>
      <c r="D17" s="12" t="s">
        <v>209</v>
      </c>
      <c r="E17" s="12" t="s">
        <v>210</v>
      </c>
      <c r="F17" s="8"/>
    </row>
    <row x14ac:dyDescent="0.25" r="18" customHeight="1" ht="17.25">
      <c r="A18" s="3" t="s">
        <v>105</v>
      </c>
      <c r="B18" s="4">
        <f>'RAW_INPUTS'!$B$66</f>
      </c>
      <c r="C18" s="3" t="s">
        <v>5</v>
      </c>
      <c r="D18" s="3" t="s">
        <v>106</v>
      </c>
      <c r="E18" s="21" t="s">
        <v>188</v>
      </c>
      <c r="F18" s="8"/>
    </row>
    <row x14ac:dyDescent="0.25" r="19" customHeight="1" ht="17.25">
      <c r="A19" s="3" t="s">
        <v>107</v>
      </c>
      <c r="B19" s="4">
        <f>IFERROR('RAW_INPUTS'!$B$66/'RAW_INPUTS'!$B$8*100,"")</f>
      </c>
      <c r="C19" s="3"/>
      <c r="D19" s="3" t="s">
        <v>106</v>
      </c>
      <c r="E19" s="21" t="s">
        <v>188</v>
      </c>
      <c r="F19" s="8"/>
    </row>
    <row x14ac:dyDescent="0.25" r="20" customHeight="1" ht="17.25">
      <c r="A20" s="3" t="s">
        <v>108</v>
      </c>
      <c r="B20" s="4">
        <f>'RAW_INPUTS'!$B$68</f>
      </c>
      <c r="C20" s="3" t="s">
        <v>5</v>
      </c>
      <c r="D20" s="3" t="s">
        <v>109</v>
      </c>
      <c r="E20" s="21" t="s">
        <v>188</v>
      </c>
      <c r="F20" s="8"/>
    </row>
    <row x14ac:dyDescent="0.25" r="21" customHeight="1" ht="17.25">
      <c r="A21" s="3" t="s">
        <v>110</v>
      </c>
      <c r="B21" s="4">
        <f>IFERROR('RAW_INPUTS'!$B$68/'RAW_INPUTS'!$B$9*100,"")</f>
      </c>
      <c r="C21" s="3"/>
      <c r="D21" s="3" t="s">
        <v>109</v>
      </c>
      <c r="E21" s="21" t="s">
        <v>188</v>
      </c>
      <c r="F21" s="8"/>
    </row>
    <row x14ac:dyDescent="0.25" r="22" customHeight="1" ht="17.25">
      <c r="A22" s="3" t="s">
        <v>111</v>
      </c>
      <c r="B22" s="4">
        <f>'RAW_INPUTS'!$B$70</f>
      </c>
      <c r="C22" s="3" t="s">
        <v>5</v>
      </c>
      <c r="D22" s="3" t="s">
        <v>112</v>
      </c>
      <c r="E22" s="21" t="s">
        <v>155</v>
      </c>
      <c r="F22" s="8"/>
    </row>
    <row x14ac:dyDescent="0.25" r="23" customHeight="1" ht="17.25">
      <c r="A23" s="3" t="s">
        <v>113</v>
      </c>
      <c r="B23" s="4">
        <f>IFERROR('RAW_INPUTS'!$B$70/'RAW_INPUTS'!$B$10*100,"")</f>
      </c>
      <c r="C23" s="3"/>
      <c r="D23" s="3" t="s">
        <v>112</v>
      </c>
      <c r="E23" s="21" t="s">
        <v>155</v>
      </c>
      <c r="F23" s="8"/>
    </row>
    <row x14ac:dyDescent="0.25" r="24" customHeight="1" ht="17.25">
      <c r="A24" s="19" t="s">
        <v>212</v>
      </c>
      <c r="B24" s="20"/>
      <c r="C24" s="19"/>
      <c r="D24" s="19"/>
      <c r="E24" s="19"/>
      <c r="F24" s="8"/>
    </row>
    <row x14ac:dyDescent="0.25" r="25" customHeight="1" ht="17.25">
      <c r="A25" s="12" t="s">
        <v>208</v>
      </c>
      <c r="B25" s="2" t="s">
        <v>1</v>
      </c>
      <c r="C25" s="12" t="s">
        <v>2</v>
      </c>
      <c r="D25" s="12" t="s">
        <v>209</v>
      </c>
      <c r="E25" s="12" t="s">
        <v>210</v>
      </c>
      <c r="F25" s="8"/>
    </row>
    <row x14ac:dyDescent="0.25" r="26" customHeight="1" ht="17.25">
      <c r="A26" s="3" t="s">
        <v>213</v>
      </c>
      <c r="B26" s="22" t="s">
        <v>214</v>
      </c>
      <c r="C26" s="3"/>
      <c r="D26" s="3" t="s">
        <v>215</v>
      </c>
      <c r="E26" s="21" t="s">
        <v>216</v>
      </c>
      <c r="F26" s="8"/>
    </row>
    <row x14ac:dyDescent="0.25" r="27" customHeight="1" ht="17.25">
      <c r="A27" s="8"/>
      <c r="B27" s="16"/>
      <c r="C27" s="8"/>
      <c r="D27" s="8"/>
      <c r="E27" s="8"/>
      <c r="F27" s="8"/>
    </row>
    <row x14ac:dyDescent="0.25" r="28" customHeight="1" ht="17.25">
      <c r="A28" s="19" t="s">
        <v>217</v>
      </c>
      <c r="B28" s="20"/>
      <c r="C28" s="19"/>
      <c r="D28" s="19"/>
      <c r="E28" s="19"/>
      <c r="F28" s="8"/>
    </row>
    <row x14ac:dyDescent="0.25" r="29" customHeight="1" ht="17.25">
      <c r="A29" s="12" t="s">
        <v>218</v>
      </c>
      <c r="B29" s="2" t="s">
        <v>219</v>
      </c>
      <c r="C29" s="12" t="s">
        <v>220</v>
      </c>
      <c r="D29" s="12" t="s">
        <v>210</v>
      </c>
      <c r="E29" s="12"/>
      <c r="F29" s="8"/>
    </row>
    <row x14ac:dyDescent="0.25" r="30" customHeight="1" ht="17.25">
      <c r="A30" s="3" t="s">
        <v>221</v>
      </c>
      <c r="B30" s="23" t="s">
        <v>222</v>
      </c>
      <c r="C30" s="3" t="s">
        <v>223</v>
      </c>
      <c r="D30" s="3" t="s">
        <v>224</v>
      </c>
      <c r="E30" s="3"/>
      <c r="F30" s="8"/>
    </row>
    <row x14ac:dyDescent="0.25" r="31" customHeight="1" ht="17.25">
      <c r="A31" s="3" t="s">
        <v>225</v>
      </c>
      <c r="B31" s="24" t="s">
        <v>226</v>
      </c>
      <c r="C31" s="3" t="s">
        <v>227</v>
      </c>
      <c r="D31" s="3" t="s">
        <v>228</v>
      </c>
      <c r="E31" s="3"/>
      <c r="F31" s="8"/>
    </row>
  </sheetData>
  <mergeCells count="8">
    <mergeCell ref="A1:F1"/>
    <mergeCell ref="A4:E5"/>
    <mergeCell ref="A7:E7"/>
    <mergeCell ref="A16:E16"/>
    <mergeCell ref="A24:E24"/>
    <mergeCell ref="A28:E28"/>
    <mergeCell ref="D30:E30"/>
    <mergeCell ref="D31:E3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6"/>
  <sheetViews>
    <sheetView workbookViewId="0">
      <pane state="frozen" activePane="bottomLeft" topLeftCell="A3" ySplit="2" xSplit="0"/>
    </sheetView>
  </sheetViews>
  <sheetFormatPr defaultRowHeight="15" x14ac:dyDescent="0.25"/>
  <cols>
    <col min="1" max="1" style="13" width="12.719285714285713" customWidth="1" bestFit="1"/>
    <col min="2" max="2" style="13" width="28.719285714285714" customWidth="1" bestFit="1"/>
    <col min="3" max="3" style="13" width="18.719285714285714" customWidth="1" bestFit="1"/>
    <col min="4" max="4" style="13" width="42.71928571428572" customWidth="1" bestFit="1"/>
    <col min="5" max="5" style="13" width="14.719285714285713" customWidth="1" bestFit="1"/>
    <col min="6" max="6" style="13" width="14.719285714285713" customWidth="1" bestFit="1"/>
    <col min="7" max="7" style="13" width="14.719285714285713" customWidth="1" bestFit="1"/>
    <col min="8" max="8" style="13" width="14.719285714285713" customWidth="1" bestFit="1"/>
  </cols>
  <sheetData>
    <row x14ac:dyDescent="0.25" r="1" customHeight="1" ht="17.25">
      <c r="A1" s="7" t="s">
        <v>114</v>
      </c>
      <c r="B1" s="7"/>
      <c r="C1" s="7"/>
      <c r="D1" s="7"/>
      <c r="E1" s="7"/>
      <c r="F1" s="7"/>
      <c r="G1" s="8"/>
      <c r="H1" s="8"/>
    </row>
    <row x14ac:dyDescent="0.25" r="2" customHeight="1" ht="17.25" customFormat="1" s="9">
      <c r="A2" s="10" t="s">
        <v>115</v>
      </c>
      <c r="B2" s="11"/>
      <c r="C2" s="11"/>
      <c r="D2" s="11"/>
      <c r="E2" s="11"/>
      <c r="F2" s="11"/>
      <c r="G2" s="11"/>
      <c r="H2" s="11"/>
    </row>
    <row x14ac:dyDescent="0.25" r="3" customHeight="1" ht="17.25">
      <c r="A3" s="8"/>
      <c r="B3" s="8"/>
      <c r="C3" s="8"/>
      <c r="D3" s="8"/>
      <c r="E3" s="8"/>
      <c r="F3" s="8"/>
      <c r="G3" s="8"/>
      <c r="H3" s="8"/>
    </row>
    <row x14ac:dyDescent="0.25" r="4" customHeight="1" ht="17.25">
      <c r="A4" s="12" t="s">
        <v>116</v>
      </c>
      <c r="B4" s="12" t="s">
        <v>117</v>
      </c>
      <c r="C4" s="12" t="s">
        <v>118</v>
      </c>
      <c r="D4" s="12" t="s">
        <v>119</v>
      </c>
      <c r="E4" s="12" t="s">
        <v>120</v>
      </c>
      <c r="F4" s="12" t="s">
        <v>121</v>
      </c>
      <c r="G4" s="12" t="s">
        <v>122</v>
      </c>
      <c r="H4" s="12" t="s">
        <v>123</v>
      </c>
    </row>
    <row x14ac:dyDescent="0.25" r="5" customHeight="1" ht="17.25" customFormat="1" s="9">
      <c r="A5" s="3" t="s">
        <v>124</v>
      </c>
      <c r="B5" s="3" t="s">
        <v>125</v>
      </c>
      <c r="C5" s="3" t="s">
        <v>126</v>
      </c>
      <c r="D5" s="3" t="s">
        <v>127</v>
      </c>
      <c r="E5" s="3" t="s">
        <v>128</v>
      </c>
      <c r="F5" s="3" t="s">
        <v>129</v>
      </c>
      <c r="G5" s="3" t="s">
        <v>130</v>
      </c>
      <c r="H5" s="3" t="s">
        <v>131</v>
      </c>
    </row>
    <row x14ac:dyDescent="0.25" r="6" customHeight="1" ht="17.25" customFormat="1" s="9">
      <c r="A6" s="3" t="s">
        <v>132</v>
      </c>
      <c r="B6" s="3" t="s">
        <v>125</v>
      </c>
      <c r="C6" s="3" t="s">
        <v>126</v>
      </c>
      <c r="D6" s="3" t="s">
        <v>133</v>
      </c>
      <c r="E6" s="3" t="s">
        <v>128</v>
      </c>
      <c r="F6" s="3" t="s">
        <v>129</v>
      </c>
      <c r="G6" s="3" t="s">
        <v>130</v>
      </c>
      <c r="H6" s="3" t="s">
        <v>131</v>
      </c>
    </row>
    <row x14ac:dyDescent="0.25" r="7" customHeight="1" ht="17.25" customFormat="1" s="9">
      <c r="A7" s="3" t="s">
        <v>134</v>
      </c>
      <c r="B7" s="3" t="s">
        <v>135</v>
      </c>
      <c r="C7" s="3" t="s">
        <v>126</v>
      </c>
      <c r="D7" s="3" t="s">
        <v>136</v>
      </c>
      <c r="E7" s="3" t="s">
        <v>128</v>
      </c>
      <c r="F7" s="3" t="s">
        <v>137</v>
      </c>
      <c r="G7" s="3" t="s">
        <v>138</v>
      </c>
      <c r="H7" s="3" t="s">
        <v>131</v>
      </c>
    </row>
    <row x14ac:dyDescent="0.25" r="8" customHeight="1" ht="17.25" customFormat="1" s="9">
      <c r="A8" s="3" t="s">
        <v>139</v>
      </c>
      <c r="B8" s="3" t="s">
        <v>135</v>
      </c>
      <c r="C8" s="3" t="s">
        <v>126</v>
      </c>
      <c r="D8" s="3" t="s">
        <v>140</v>
      </c>
      <c r="E8" s="3" t="s">
        <v>128</v>
      </c>
      <c r="F8" s="3" t="s">
        <v>137</v>
      </c>
      <c r="G8" s="3" t="s">
        <v>138</v>
      </c>
      <c r="H8" s="3" t="s">
        <v>131</v>
      </c>
    </row>
    <row x14ac:dyDescent="0.25" r="9" customHeight="1" ht="17.25" customFormat="1" s="9">
      <c r="A9" s="3" t="s">
        <v>141</v>
      </c>
      <c r="B9" s="3" t="s">
        <v>142</v>
      </c>
      <c r="C9" s="3" t="s">
        <v>126</v>
      </c>
      <c r="D9" s="3" t="s">
        <v>143</v>
      </c>
      <c r="E9" s="3" t="s">
        <v>128</v>
      </c>
      <c r="F9" s="3" t="s">
        <v>144</v>
      </c>
      <c r="G9" s="3" t="s">
        <v>145</v>
      </c>
      <c r="H9" s="3" t="s">
        <v>131</v>
      </c>
    </row>
    <row x14ac:dyDescent="0.25" r="10" customHeight="1" ht="17.25" customFormat="1" s="9">
      <c r="A10" s="3" t="s">
        <v>146</v>
      </c>
      <c r="B10" s="3" t="s">
        <v>142</v>
      </c>
      <c r="C10" s="3" t="s">
        <v>126</v>
      </c>
      <c r="D10" s="3" t="s">
        <v>147</v>
      </c>
      <c r="E10" s="3" t="s">
        <v>128</v>
      </c>
      <c r="F10" s="3" t="s">
        <v>144</v>
      </c>
      <c r="G10" s="3" t="s">
        <v>145</v>
      </c>
      <c r="H10" s="3" t="s">
        <v>131</v>
      </c>
    </row>
    <row x14ac:dyDescent="0.25" r="11" customHeight="1" ht="17.25" customFormat="1" s="9">
      <c r="A11" s="3" t="s">
        <v>148</v>
      </c>
      <c r="B11" s="3" t="s">
        <v>149</v>
      </c>
      <c r="C11" s="3" t="s">
        <v>126</v>
      </c>
      <c r="D11" s="3" t="s">
        <v>150</v>
      </c>
      <c r="E11" s="3" t="s">
        <v>128</v>
      </c>
      <c r="F11" s="3" t="s">
        <v>151</v>
      </c>
      <c r="G11" s="3" t="s">
        <v>152</v>
      </c>
      <c r="H11" s="3" t="s">
        <v>131</v>
      </c>
    </row>
    <row x14ac:dyDescent="0.25" r="12" customHeight="1" ht="17.25" customFormat="1" s="9">
      <c r="A12" s="3" t="s">
        <v>153</v>
      </c>
      <c r="B12" s="3" t="s">
        <v>149</v>
      </c>
      <c r="C12" s="3" t="s">
        <v>126</v>
      </c>
      <c r="D12" s="3" t="s">
        <v>154</v>
      </c>
      <c r="E12" s="3" t="s">
        <v>128</v>
      </c>
      <c r="F12" s="3" t="s">
        <v>151</v>
      </c>
      <c r="G12" s="3" t="s">
        <v>152</v>
      </c>
      <c r="H12" s="3" t="s">
        <v>131</v>
      </c>
    </row>
    <row x14ac:dyDescent="0.25" r="13" customHeight="1" ht="17.25" customFormat="1" s="9">
      <c r="A13" s="3" t="s">
        <v>155</v>
      </c>
      <c r="B13" s="3" t="s">
        <v>156</v>
      </c>
      <c r="C13" s="3" t="s">
        <v>126</v>
      </c>
      <c r="D13" s="3" t="s">
        <v>157</v>
      </c>
      <c r="E13" s="3" t="s">
        <v>128</v>
      </c>
      <c r="F13" s="3" t="s">
        <v>158</v>
      </c>
      <c r="G13" s="3" t="s">
        <v>159</v>
      </c>
      <c r="H13" s="3" t="s">
        <v>131</v>
      </c>
    </row>
    <row x14ac:dyDescent="0.25" r="14" customHeight="1" ht="17.25" customFormat="1" s="9">
      <c r="A14" s="3" t="s">
        <v>160</v>
      </c>
      <c r="B14" s="3" t="s">
        <v>156</v>
      </c>
      <c r="C14" s="3" t="s">
        <v>126</v>
      </c>
      <c r="D14" s="3" t="s">
        <v>161</v>
      </c>
      <c r="E14" s="3" t="s">
        <v>128</v>
      </c>
      <c r="F14" s="3" t="s">
        <v>158</v>
      </c>
      <c r="G14" s="3" t="s">
        <v>159</v>
      </c>
      <c r="H14" s="3" t="s">
        <v>131</v>
      </c>
    </row>
    <row x14ac:dyDescent="0.25" r="15" customHeight="1" ht="17.25" customFormat="1" s="9">
      <c r="A15" s="3" t="s">
        <v>162</v>
      </c>
      <c r="B15" s="3" t="s">
        <v>163</v>
      </c>
      <c r="C15" s="3" t="s">
        <v>126</v>
      </c>
      <c r="D15" s="3" t="s">
        <v>164</v>
      </c>
      <c r="E15" s="3" t="s">
        <v>128</v>
      </c>
      <c r="F15" s="3" t="s">
        <v>165</v>
      </c>
      <c r="G15" s="3" t="s">
        <v>166</v>
      </c>
      <c r="H15" s="3" t="s">
        <v>131</v>
      </c>
    </row>
    <row x14ac:dyDescent="0.25" r="16" customHeight="1" ht="17.25" customFormat="1" s="9">
      <c r="A16" s="3" t="s">
        <v>167</v>
      </c>
      <c r="B16" s="3" t="s">
        <v>163</v>
      </c>
      <c r="C16" s="3" t="s">
        <v>126</v>
      </c>
      <c r="D16" s="3" t="s">
        <v>168</v>
      </c>
      <c r="E16" s="3" t="s">
        <v>128</v>
      </c>
      <c r="F16" s="3" t="s">
        <v>165</v>
      </c>
      <c r="G16" s="3" t="s">
        <v>166</v>
      </c>
      <c r="H16" s="3" t="s">
        <v>131</v>
      </c>
    </row>
    <row x14ac:dyDescent="0.25" r="17" customHeight="1" ht="17.25" customFormat="1" s="9">
      <c r="A17" s="3" t="s">
        <v>169</v>
      </c>
      <c r="B17" s="3" t="s">
        <v>170</v>
      </c>
      <c r="C17" s="3" t="s">
        <v>126</v>
      </c>
      <c r="D17" s="3" t="s">
        <v>171</v>
      </c>
      <c r="E17" s="3" t="s">
        <v>128</v>
      </c>
      <c r="F17" s="3" t="s">
        <v>172</v>
      </c>
      <c r="G17" s="3" t="s">
        <v>173</v>
      </c>
      <c r="H17" s="3" t="s">
        <v>131</v>
      </c>
    </row>
    <row x14ac:dyDescent="0.25" r="18" customHeight="1" ht="17.25" customFormat="1" s="9">
      <c r="A18" s="3" t="s">
        <v>174</v>
      </c>
      <c r="B18" s="3" t="s">
        <v>170</v>
      </c>
      <c r="C18" s="3" t="s">
        <v>126</v>
      </c>
      <c r="D18" s="3" t="s">
        <v>175</v>
      </c>
      <c r="E18" s="3" t="s">
        <v>128</v>
      </c>
      <c r="F18" s="3" t="s">
        <v>172</v>
      </c>
      <c r="G18" s="3" t="s">
        <v>173</v>
      </c>
      <c r="H18" s="3" t="s">
        <v>131</v>
      </c>
    </row>
    <row x14ac:dyDescent="0.25" r="19" customHeight="1" ht="17.25" customFormat="1" s="9">
      <c r="A19" s="3" t="s">
        <v>176</v>
      </c>
      <c r="B19" s="3" t="s">
        <v>177</v>
      </c>
      <c r="C19" s="3" t="s">
        <v>126</v>
      </c>
      <c r="D19" s="3" t="s">
        <v>178</v>
      </c>
      <c r="E19" s="3" t="s">
        <v>128</v>
      </c>
      <c r="F19" s="3" t="s">
        <v>179</v>
      </c>
      <c r="G19" s="3" t="s">
        <v>180</v>
      </c>
      <c r="H19" s="3" t="s">
        <v>131</v>
      </c>
    </row>
    <row x14ac:dyDescent="0.25" r="20" customHeight="1" ht="17.25" customFormat="1" s="9">
      <c r="A20" s="3" t="s">
        <v>181</v>
      </c>
      <c r="B20" s="3" t="s">
        <v>177</v>
      </c>
      <c r="C20" s="3" t="s">
        <v>126</v>
      </c>
      <c r="D20" s="3" t="s">
        <v>182</v>
      </c>
      <c r="E20" s="3" t="s">
        <v>128</v>
      </c>
      <c r="F20" s="3" t="s">
        <v>179</v>
      </c>
      <c r="G20" s="3" t="s">
        <v>180</v>
      </c>
      <c r="H20" s="3" t="s">
        <v>131</v>
      </c>
    </row>
    <row x14ac:dyDescent="0.25" r="21" customHeight="1" ht="17.25" customFormat="1" s="9">
      <c r="A21" s="3" t="s">
        <v>183</v>
      </c>
      <c r="B21" s="3" t="s">
        <v>184</v>
      </c>
      <c r="C21" s="3" t="s">
        <v>126</v>
      </c>
      <c r="D21" s="3" t="s">
        <v>185</v>
      </c>
      <c r="E21" s="3" t="s">
        <v>128</v>
      </c>
      <c r="F21" s="3" t="s">
        <v>186</v>
      </c>
      <c r="G21" s="3" t="s">
        <v>187</v>
      </c>
      <c r="H21" s="3" t="s">
        <v>131</v>
      </c>
    </row>
    <row x14ac:dyDescent="0.25" r="22" customHeight="1" ht="17.25" customFormat="1" s="9">
      <c r="A22" s="3" t="s">
        <v>188</v>
      </c>
      <c r="B22" s="3" t="s">
        <v>184</v>
      </c>
      <c r="C22" s="3" t="s">
        <v>126</v>
      </c>
      <c r="D22" s="3" t="s">
        <v>189</v>
      </c>
      <c r="E22" s="3" t="s">
        <v>128</v>
      </c>
      <c r="F22" s="3" t="s">
        <v>186</v>
      </c>
      <c r="G22" s="3" t="s">
        <v>187</v>
      </c>
      <c r="H22" s="3" t="s">
        <v>131</v>
      </c>
    </row>
    <row x14ac:dyDescent="0.25" r="23" customHeight="1" ht="17.25" customFormat="1" s="9">
      <c r="A23" s="3" t="s">
        <v>190</v>
      </c>
      <c r="B23" s="3" t="s">
        <v>191</v>
      </c>
      <c r="C23" s="3" t="s">
        <v>126</v>
      </c>
      <c r="D23" s="3" t="s">
        <v>192</v>
      </c>
      <c r="E23" s="3" t="s">
        <v>128</v>
      </c>
      <c r="F23" s="3" t="s">
        <v>193</v>
      </c>
      <c r="G23" s="3" t="s">
        <v>194</v>
      </c>
      <c r="H23" s="3" t="s">
        <v>131</v>
      </c>
    </row>
    <row x14ac:dyDescent="0.25" r="24" customHeight="1" ht="17.25" customFormat="1" s="9">
      <c r="A24" s="3" t="s">
        <v>195</v>
      </c>
      <c r="B24" s="3" t="s">
        <v>191</v>
      </c>
      <c r="C24" s="3" t="s">
        <v>126</v>
      </c>
      <c r="D24" s="3" t="s">
        <v>196</v>
      </c>
      <c r="E24" s="3" t="s">
        <v>128</v>
      </c>
      <c r="F24" s="3" t="s">
        <v>193</v>
      </c>
      <c r="G24" s="3" t="s">
        <v>194</v>
      </c>
      <c r="H24" s="3" t="s">
        <v>131</v>
      </c>
    </row>
    <row x14ac:dyDescent="0.25" r="25" customHeight="1" ht="17.25" customFormat="1" s="9">
      <c r="A25" s="3" t="s">
        <v>197</v>
      </c>
      <c r="B25" s="3" t="s">
        <v>198</v>
      </c>
      <c r="C25" s="3" t="s">
        <v>126</v>
      </c>
      <c r="D25" s="3" t="s">
        <v>199</v>
      </c>
      <c r="E25" s="3" t="s">
        <v>128</v>
      </c>
      <c r="F25" s="3" t="s">
        <v>200</v>
      </c>
      <c r="G25" s="3" t="s">
        <v>201</v>
      </c>
      <c r="H25" s="3" t="s">
        <v>131</v>
      </c>
    </row>
    <row x14ac:dyDescent="0.25" r="26" customHeight="1" ht="17.25" customFormat="1" s="9">
      <c r="A26" s="3" t="s">
        <v>202</v>
      </c>
      <c r="B26" s="3" t="s">
        <v>198</v>
      </c>
      <c r="C26" s="3" t="s">
        <v>126</v>
      </c>
      <c r="D26" s="3" t="s">
        <v>203</v>
      </c>
      <c r="E26" s="3" t="s">
        <v>128</v>
      </c>
      <c r="F26" s="3" t="s">
        <v>200</v>
      </c>
      <c r="G26" s="3" t="s">
        <v>201</v>
      </c>
      <c r="H26" s="3" t="s">
        <v>131</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1"/>
  <sheetViews>
    <sheetView workbookViewId="0"/>
  </sheetViews>
  <sheetFormatPr defaultRowHeight="15" x14ac:dyDescent="0.25"/>
  <cols>
    <col min="1" max="1" style="5" width="34.71928571428572" customWidth="1" bestFit="1"/>
    <col min="2" max="2" style="6" width="18.719285714285714" customWidth="1" bestFit="1"/>
    <col min="3" max="3" style="5" width="12.719285714285713" customWidth="1" bestFit="1"/>
    <col min="4" max="4" style="5" width="36.71928571428572" customWidth="1" bestFit="1"/>
  </cols>
  <sheetData>
    <row x14ac:dyDescent="0.25" r="1" customHeight="1" ht="17.25">
      <c r="A1" s="1" t="s">
        <v>0</v>
      </c>
      <c r="B1" s="2" t="s">
        <v>1</v>
      </c>
      <c r="C1" s="1" t="s">
        <v>2</v>
      </c>
      <c r="D1" s="1" t="s">
        <v>3</v>
      </c>
    </row>
    <row x14ac:dyDescent="0.25" r="2" customHeight="1" ht="17.25">
      <c r="A2" s="3" t="s">
        <v>4</v>
      </c>
      <c r="B2" s="4">
        <v>383.0788006469</v>
      </c>
      <c r="C2" s="3" t="s">
        <v>5</v>
      </c>
      <c r="D2" s="3" t="s">
        <v>6</v>
      </c>
    </row>
    <row x14ac:dyDescent="0.25" r="3" customHeight="1" ht="17.25">
      <c r="A3" s="3" t="s">
        <v>7</v>
      </c>
      <c r="B3" s="4">
        <v>476.9292795902</v>
      </c>
      <c r="C3" s="3" t="s">
        <v>5</v>
      </c>
      <c r="D3" s="3" t="s">
        <v>6</v>
      </c>
    </row>
    <row x14ac:dyDescent="0.25" r="4" customHeight="1" ht="17.25">
      <c r="A4" s="3" t="s">
        <v>8</v>
      </c>
      <c r="B4" s="4">
        <v>0.5297904293</v>
      </c>
      <c r="C4" s="3" t="s">
        <v>5</v>
      </c>
      <c r="D4" s="3" t="s">
        <v>6</v>
      </c>
    </row>
    <row x14ac:dyDescent="0.25" r="5" customHeight="1" ht="17.25">
      <c r="A5" s="3" t="s">
        <v>9</v>
      </c>
      <c r="B5" s="4">
        <v>610.3141381583</v>
      </c>
      <c r="C5" s="3" t="s">
        <v>5</v>
      </c>
      <c r="D5" s="3" t="s">
        <v>6</v>
      </c>
    </row>
    <row x14ac:dyDescent="0.25" r="6" customHeight="1" ht="17.25">
      <c r="A6" s="3" t="s">
        <v>10</v>
      </c>
      <c r="B6" s="4">
        <v>0.000478265</v>
      </c>
      <c r="C6" s="3" t="s">
        <v>5</v>
      </c>
      <c r="D6" s="3" t="s">
        <v>6</v>
      </c>
    </row>
    <row x14ac:dyDescent="0.25" r="7" customHeight="1" ht="17.25">
      <c r="A7" s="3" t="s">
        <v>11</v>
      </c>
      <c r="B7" s="4">
        <v>0.52904071</v>
      </c>
      <c r="C7" s="3" t="s">
        <v>5</v>
      </c>
      <c r="D7" s="3" t="s">
        <v>6</v>
      </c>
    </row>
    <row x14ac:dyDescent="0.25" r="8" customHeight="1" ht="17.25">
      <c r="A8" s="3" t="s">
        <v>12</v>
      </c>
      <c r="B8" s="4">
        <v>19.7563573824</v>
      </c>
      <c r="C8" s="3" t="s">
        <v>5</v>
      </c>
      <c r="D8" s="3" t="s">
        <v>6</v>
      </c>
    </row>
    <row x14ac:dyDescent="0.25" r="9" customHeight="1" ht="17.25">
      <c r="A9" s="3" t="s">
        <v>13</v>
      </c>
      <c r="B9" s="4">
        <v>61.0685413299</v>
      </c>
      <c r="C9" s="3" t="s">
        <v>5</v>
      </c>
      <c r="D9" s="3" t="s">
        <v>6</v>
      </c>
    </row>
    <row x14ac:dyDescent="0.25" r="10" customHeight="1" ht="17.25">
      <c r="A10" s="3" t="s">
        <v>14</v>
      </c>
      <c r="B10" s="4">
        <v>8.1705178984</v>
      </c>
      <c r="C10" s="3" t="s">
        <v>5</v>
      </c>
      <c r="D10" s="3" t="s">
        <v>6</v>
      </c>
    </row>
    <row x14ac:dyDescent="0.25" r="11" customHeight="1" ht="17.25">
      <c r="A11" s="3" t="s">
        <v>15</v>
      </c>
      <c r="B11" s="4">
        <v>809.9478657888</v>
      </c>
      <c r="C11" s="3" t="s">
        <v>5</v>
      </c>
      <c r="D11" s="3" t="s">
        <v>16</v>
      </c>
    </row>
    <row x14ac:dyDescent="0.25" r="12" customHeight="1" ht="17.25">
      <c r="A12" s="3" t="s">
        <v>17</v>
      </c>
      <c r="B12" s="4">
        <v>530.0038850819</v>
      </c>
      <c r="C12" s="3" t="s">
        <v>5</v>
      </c>
      <c r="D12" s="3" t="s">
        <v>16</v>
      </c>
    </row>
    <row x14ac:dyDescent="0.25" r="13" customHeight="1" ht="17.25">
      <c r="A13" s="3" t="s">
        <v>18</v>
      </c>
      <c r="B13" s="4">
        <v>34.6</v>
      </c>
      <c r="C13" s="3"/>
      <c r="D13" s="3" t="s">
        <v>16</v>
      </c>
    </row>
    <row x14ac:dyDescent="0.25" r="14" customHeight="1" ht="17.25">
      <c r="A14" s="3" t="s">
        <v>19</v>
      </c>
      <c r="B14" s="4">
        <v>5.48</v>
      </c>
      <c r="C14" s="3" t="s">
        <v>20</v>
      </c>
      <c r="D14" s="3" t="s">
        <v>21</v>
      </c>
    </row>
    <row x14ac:dyDescent="0.25" r="15" customHeight="1" ht="17.25">
      <c r="A15" s="3" t="s">
        <v>22</v>
      </c>
      <c r="B15" s="4">
        <v>19.175386399</v>
      </c>
      <c r="C15" s="3" t="s">
        <v>5</v>
      </c>
      <c r="D15" s="3" t="s">
        <v>23</v>
      </c>
    </row>
    <row x14ac:dyDescent="0.25" r="16" customHeight="1" ht="17.25">
      <c r="A16" s="3" t="s">
        <v>24</v>
      </c>
      <c r="B16" s="4">
        <v>0.28</v>
      </c>
      <c r="C16" s="3" t="s">
        <v>20</v>
      </c>
      <c r="D16" s="3" t="s">
        <v>25</v>
      </c>
    </row>
    <row x14ac:dyDescent="0.25" r="17" customHeight="1" ht="17.25">
      <c r="A17" s="3" t="s">
        <v>26</v>
      </c>
      <c r="B17" s="4">
        <v>27.0947156237</v>
      </c>
      <c r="C17" s="3" t="s">
        <v>5</v>
      </c>
      <c r="D17" s="3" t="s">
        <v>27</v>
      </c>
    </row>
    <row x14ac:dyDescent="0.25" r="18" customHeight="1" ht="17.25">
      <c r="A18" s="3" t="s">
        <v>28</v>
      </c>
      <c r="B18" s="4">
        <v>476.9292795902</v>
      </c>
      <c r="C18" s="3" t="s">
        <v>5</v>
      </c>
      <c r="D18" s="3" t="s">
        <v>29</v>
      </c>
    </row>
    <row x14ac:dyDescent="0.25" r="19" customHeight="1" ht="17.25">
      <c r="A19" s="3" t="s">
        <v>30</v>
      </c>
      <c r="B19" s="4">
        <v>12.5129022227</v>
      </c>
      <c r="C19" s="3" t="s">
        <v>5</v>
      </c>
      <c r="D19" s="3" t="s">
        <v>31</v>
      </c>
    </row>
    <row x14ac:dyDescent="0.25" r="20" customHeight="1" ht="17.25">
      <c r="A20" s="3" t="s">
        <v>32</v>
      </c>
      <c r="B20" s="4">
        <v>0.8094876796</v>
      </c>
      <c r="C20" s="3" t="s">
        <v>5</v>
      </c>
      <c r="D20" s="3" t="s">
        <v>31</v>
      </c>
    </row>
    <row x14ac:dyDescent="0.25" r="21" customHeight="1" ht="17.25">
      <c r="A21" s="3" t="s">
        <v>33</v>
      </c>
      <c r="B21" s="4">
        <v>0.2956894742</v>
      </c>
      <c r="C21" s="3" t="s">
        <v>5</v>
      </c>
      <c r="D21" s="3" t="s">
        <v>31</v>
      </c>
    </row>
    <row x14ac:dyDescent="0.25" r="22" customHeight="1" ht="17.25">
      <c r="A22" s="3" t="s">
        <v>34</v>
      </c>
      <c r="B22" s="4">
        <v>3.1</v>
      </c>
      <c r="C22" s="3"/>
      <c r="D22" s="3" t="s">
        <v>35</v>
      </c>
    </row>
    <row x14ac:dyDescent="0.25" r="23" customHeight="1" ht="17.25">
      <c r="A23" s="3" t="s">
        <v>36</v>
      </c>
      <c r="B23" s="4">
        <v>-68.7263297047</v>
      </c>
      <c r="C23" s="3" t="s">
        <v>5</v>
      </c>
      <c r="D23" s="3" t="s">
        <v>37</v>
      </c>
    </row>
    <row x14ac:dyDescent="0.25" r="24" customHeight="1" ht="17.25">
      <c r="A24" s="3" t="s">
        <v>38</v>
      </c>
      <c r="B24" s="4">
        <v>-8.7990375971</v>
      </c>
      <c r="C24" s="3" t="s">
        <v>5</v>
      </c>
      <c r="D24" s="3" t="s">
        <v>37</v>
      </c>
    </row>
    <row x14ac:dyDescent="0.25" r="25" customHeight="1" ht="17.25">
      <c r="A25" s="3" t="s">
        <v>39</v>
      </c>
      <c r="B25" s="4">
        <v>73.8792818543</v>
      </c>
      <c r="C25" s="3" t="s">
        <v>5</v>
      </c>
      <c r="D25" s="3" t="s">
        <v>37</v>
      </c>
    </row>
    <row x14ac:dyDescent="0.25" r="26" customHeight="1" ht="17.25">
      <c r="A26" s="3" t="s">
        <v>40</v>
      </c>
      <c r="B26" s="4">
        <v>1.4373736789</v>
      </c>
      <c r="C26" s="3" t="s">
        <v>5</v>
      </c>
      <c r="D26" s="3" t="s">
        <v>41</v>
      </c>
    </row>
    <row x14ac:dyDescent="0.25" r="27" customHeight="1" ht="17.25">
      <c r="A27" s="3" t="s">
        <v>42</v>
      </c>
      <c r="B27" s="4">
        <v>809.9478657888</v>
      </c>
      <c r="C27" s="3" t="s">
        <v>5</v>
      </c>
      <c r="D27" s="3" t="s">
        <v>43</v>
      </c>
    </row>
    <row x14ac:dyDescent="0.25" r="28" customHeight="1" ht="17.25">
      <c r="A28" s="3" t="s">
        <v>44</v>
      </c>
      <c r="B28" s="4">
        <v>530.0038850819</v>
      </c>
      <c r="C28" s="3" t="s">
        <v>5</v>
      </c>
      <c r="D28" s="3" t="s">
        <v>45</v>
      </c>
    </row>
    <row x14ac:dyDescent="0.25" r="29" customHeight="1" ht="17.25">
      <c r="A29" s="3" t="s">
        <v>46</v>
      </c>
      <c r="B29" s="4">
        <v>247.8066885576</v>
      </c>
      <c r="C29" s="3" t="s">
        <v>5</v>
      </c>
      <c r="D29" s="3" t="s">
        <v>47</v>
      </c>
    </row>
    <row x14ac:dyDescent="0.25" r="30" customHeight="1" ht="17.25">
      <c r="A30" s="3" t="s">
        <v>48</v>
      </c>
      <c r="B30" s="4">
        <v>722.1557189289</v>
      </c>
      <c r="C30" s="3" t="s">
        <v>5</v>
      </c>
      <c r="D30" s="3" t="s">
        <v>49</v>
      </c>
    </row>
    <row x14ac:dyDescent="0.25" r="31" customHeight="1" ht="17.25">
      <c r="A31" s="3" t="s">
        <v>50</v>
      </c>
      <c r="B31" s="4">
        <v>131.8335091465</v>
      </c>
      <c r="C31" s="3" t="s">
        <v>5</v>
      </c>
      <c r="D31" s="3" t="s">
        <v>51</v>
      </c>
    </row>
    <row x14ac:dyDescent="0.25" r="32" customHeight="1" ht="17.25">
      <c r="A32" s="3" t="s">
        <v>30</v>
      </c>
      <c r="B32" s="4">
        <v>12.5129022227</v>
      </c>
      <c r="C32" s="3" t="s">
        <v>5</v>
      </c>
      <c r="D32" s="3" t="s">
        <v>52</v>
      </c>
    </row>
    <row x14ac:dyDescent="0.25" r="33" customHeight="1" ht="17.25">
      <c r="A33" s="3" t="s">
        <v>53</v>
      </c>
      <c r="B33" s="4">
        <v>12.1200473774</v>
      </c>
      <c r="C33" s="3" t="s">
        <v>5</v>
      </c>
      <c r="D33" s="3" t="s">
        <v>54</v>
      </c>
    </row>
    <row x14ac:dyDescent="0.25" r="34" customHeight="1" ht="17.25">
      <c r="A34" s="3" t="s">
        <v>55</v>
      </c>
      <c r="B34" s="4">
        <v>0.9171704711</v>
      </c>
      <c r="C34" s="3" t="s">
        <v>5</v>
      </c>
      <c r="D34" s="3" t="s">
        <v>56</v>
      </c>
    </row>
    <row x14ac:dyDescent="0.25" r="35" customHeight="1" ht="17.25">
      <c r="A35" s="3" t="s">
        <v>32</v>
      </c>
      <c r="B35" s="4">
        <v>0.8094876796</v>
      </c>
      <c r="C35" s="3" t="s">
        <v>5</v>
      </c>
      <c r="D35" s="3" t="s">
        <v>57</v>
      </c>
    </row>
    <row x14ac:dyDescent="0.25" r="36" customHeight="1" ht="17.25">
      <c r="A36" s="3" t="s">
        <v>33</v>
      </c>
      <c r="B36" s="4">
        <v>0.2956894742</v>
      </c>
      <c r="C36" s="3" t="s">
        <v>5</v>
      </c>
      <c r="D36" s="3" t="s">
        <v>58</v>
      </c>
    </row>
    <row x14ac:dyDescent="0.25" r="37" customHeight="1" ht="17.25">
      <c r="A37" s="3" t="s">
        <v>36</v>
      </c>
      <c r="B37" s="4">
        <v>-68.7263297047</v>
      </c>
      <c r="C37" s="3" t="s">
        <v>5</v>
      </c>
      <c r="D37" s="3" t="s">
        <v>59</v>
      </c>
    </row>
    <row x14ac:dyDescent="0.25" r="38" customHeight="1" ht="17.25">
      <c r="A38" s="3" t="s">
        <v>38</v>
      </c>
      <c r="B38" s="4">
        <v>-8.7990375971</v>
      </c>
      <c r="C38" s="3" t="s">
        <v>5</v>
      </c>
      <c r="D38" s="3" t="s">
        <v>60</v>
      </c>
    </row>
    <row x14ac:dyDescent="0.25" r="39" customHeight="1" ht="17.25">
      <c r="A39" s="3" t="s">
        <v>39</v>
      </c>
      <c r="B39" s="4">
        <v>73.8792818543</v>
      </c>
      <c r="C39" s="3" t="s">
        <v>5</v>
      </c>
      <c r="D39" s="3" t="s">
        <v>61</v>
      </c>
    </row>
    <row x14ac:dyDescent="0.25" r="40" customHeight="1" ht="17.25">
      <c r="A40" s="3" t="s">
        <v>62</v>
      </c>
      <c r="B40" s="4">
        <v>19.175386399</v>
      </c>
      <c r="C40" s="3" t="s">
        <v>5</v>
      </c>
      <c r="D40" s="3" t="s">
        <v>63</v>
      </c>
    </row>
    <row x14ac:dyDescent="0.25" r="41" customHeight="1" ht="17.25">
      <c r="A41" s="3" t="s">
        <v>28</v>
      </c>
      <c r="B41" s="4">
        <v>476.9292795902</v>
      </c>
      <c r="C41" s="3" t="s">
        <v>5</v>
      </c>
      <c r="D41" s="3" t="s">
        <v>64</v>
      </c>
    </row>
    <row x14ac:dyDescent="0.25" r="42" customHeight="1" ht="17.25">
      <c r="A42" s="3" t="s">
        <v>65</v>
      </c>
      <c r="B42" s="4">
        <v>67.4408484828</v>
      </c>
      <c r="C42" s="3" t="s">
        <v>5</v>
      </c>
      <c r="D42" s="3" t="s">
        <v>66</v>
      </c>
    </row>
    <row x14ac:dyDescent="0.25" r="43" customHeight="1" ht="17.25">
      <c r="A43" s="3" t="s">
        <v>67</v>
      </c>
      <c r="B43" s="4">
        <v>27.0947156237</v>
      </c>
      <c r="C43" s="3" t="s">
        <v>5</v>
      </c>
      <c r="D43" s="3" t="s">
        <v>68</v>
      </c>
    </row>
    <row x14ac:dyDescent="0.25" r="44" customHeight="1" ht="17.25">
      <c r="A44" s="3" t="s">
        <v>69</v>
      </c>
      <c r="B44" s="4">
        <v>79.144959035</v>
      </c>
      <c r="C44" s="3" t="s">
        <v>5</v>
      </c>
      <c r="D44" s="3" t="s">
        <v>70</v>
      </c>
    </row>
    <row x14ac:dyDescent="0.25" r="45" customHeight="1" ht="17.25">
      <c r="A45" s="3" t="s">
        <v>71</v>
      </c>
      <c r="B45" s="4">
        <v>2709471562.37</v>
      </c>
      <c r="C45" s="3" t="s">
        <v>72</v>
      </c>
      <c r="D45" s="3" t="s">
        <v>73</v>
      </c>
    </row>
    <row x14ac:dyDescent="0.25" r="46" customHeight="1" ht="17.25">
      <c r="A46" s="3" t="s">
        <v>74</v>
      </c>
      <c r="B46" s="4">
        <v>0</v>
      </c>
      <c r="C46" s="3" t="s">
        <v>72</v>
      </c>
      <c r="D46" s="3" t="s">
        <v>75</v>
      </c>
    </row>
    <row x14ac:dyDescent="0.25" r="47" customHeight="1" ht="17.25">
      <c r="A47" s="3" t="s">
        <v>76</v>
      </c>
      <c r="B47" s="4">
        <v>0</v>
      </c>
      <c r="C47" s="3" t="s">
        <v>72</v>
      </c>
      <c r="D47" s="3" t="s">
        <v>77</v>
      </c>
    </row>
    <row x14ac:dyDescent="0.25" r="48" customHeight="1" ht="17.25">
      <c r="A48" s="3" t="s">
        <v>78</v>
      </c>
      <c r="B48" s="4">
        <v>72.3</v>
      </c>
      <c r="C48" s="3"/>
      <c r="D48" s="3" t="s">
        <v>79</v>
      </c>
    </row>
    <row x14ac:dyDescent="0.25" r="49" customHeight="1" ht="17.25">
      <c r="A49" s="3" t="s">
        <v>80</v>
      </c>
      <c r="B49" s="4">
        <v>16.6</v>
      </c>
      <c r="C49" s="3"/>
      <c r="D49" s="3" t="s">
        <v>81</v>
      </c>
    </row>
    <row x14ac:dyDescent="0.25" r="50" customHeight="1" ht="17.25">
      <c r="A50" s="3" t="s">
        <v>82</v>
      </c>
      <c r="B50" s="4">
        <v>11.1</v>
      </c>
      <c r="C50" s="3"/>
      <c r="D50" s="3" t="s">
        <v>83</v>
      </c>
    </row>
    <row x14ac:dyDescent="0.25" r="51" customHeight="1" ht="17.25">
      <c r="A51" s="3" t="s">
        <v>84</v>
      </c>
      <c r="B51" s="4">
        <v>3.1247382171</v>
      </c>
      <c r="C51" s="3" t="s">
        <v>5</v>
      </c>
      <c r="D51" s="3" t="s">
        <v>85</v>
      </c>
    </row>
    <row x14ac:dyDescent="0.25" r="52" customHeight="1" ht="17.25">
      <c r="A52" s="3" t="s">
        <v>86</v>
      </c>
      <c r="B52" s="4">
        <v>7.27</v>
      </c>
      <c r="C52" s="3"/>
      <c r="D52" s="3" t="s">
        <v>87</v>
      </c>
    </row>
    <row x14ac:dyDescent="0.25" r="53" customHeight="1" ht="17.25">
      <c r="A53" s="3" t="s">
        <v>88</v>
      </c>
      <c r="B53" s="4">
        <v>3.0921103442</v>
      </c>
      <c r="C53" s="3" t="s">
        <v>5</v>
      </c>
      <c r="D53" s="3" t="s">
        <v>89</v>
      </c>
    </row>
    <row x14ac:dyDescent="0.25" r="54" customHeight="1" ht="17.25">
      <c r="A54" s="3" t="s">
        <v>84</v>
      </c>
      <c r="B54" s="4">
        <v>3.1247382171</v>
      </c>
      <c r="C54" s="3" t="s">
        <v>5</v>
      </c>
      <c r="D54" s="3" t="s">
        <v>89</v>
      </c>
    </row>
    <row x14ac:dyDescent="0.25" r="55" customHeight="1" ht="17.25">
      <c r="A55" s="3" t="s">
        <v>90</v>
      </c>
      <c r="B55" s="4">
        <v>0.1294099041</v>
      </c>
      <c r="C55" s="3" t="s">
        <v>5</v>
      </c>
      <c r="D55" s="3" t="s">
        <v>89</v>
      </c>
    </row>
    <row x14ac:dyDescent="0.25" r="56" customHeight="1" ht="17.25">
      <c r="A56" s="3" t="s">
        <v>91</v>
      </c>
      <c r="B56" s="4">
        <v>2.995328313</v>
      </c>
      <c r="C56" s="3" t="s">
        <v>5</v>
      </c>
      <c r="D56" s="3" t="s">
        <v>92</v>
      </c>
    </row>
    <row x14ac:dyDescent="0.25" r="57" customHeight="1" ht="17.25">
      <c r="A57" s="3" t="s">
        <v>93</v>
      </c>
      <c r="B57" s="4">
        <v>24.72</v>
      </c>
      <c r="C57" s="3"/>
      <c r="D57" s="3" t="s">
        <v>94</v>
      </c>
    </row>
    <row x14ac:dyDescent="0.25" r="58" customHeight="1" ht="17.25">
      <c r="A58" s="3" t="s">
        <v>95</v>
      </c>
      <c r="B58" s="4">
        <v>7.27</v>
      </c>
      <c r="C58" s="3"/>
      <c r="D58" s="3" t="s">
        <v>96</v>
      </c>
    </row>
    <row x14ac:dyDescent="0.25" r="59" customHeight="1" ht="17.25">
      <c r="A59" s="3" t="s">
        <v>9</v>
      </c>
      <c r="B59" s="4">
        <v>610.3141381583</v>
      </c>
      <c r="C59" s="3" t="s">
        <v>5</v>
      </c>
      <c r="D59" s="3" t="s">
        <v>97</v>
      </c>
    </row>
    <row x14ac:dyDescent="0.25" r="60" customHeight="1" ht="17.25">
      <c r="A60" s="3" t="s">
        <v>98</v>
      </c>
      <c r="B60" s="4">
        <v>609.784347729</v>
      </c>
      <c r="C60" s="3" t="s">
        <v>5</v>
      </c>
      <c r="D60" s="3" t="s">
        <v>99</v>
      </c>
    </row>
    <row x14ac:dyDescent="0.25" r="61" customHeight="1" ht="17.25">
      <c r="A61" s="3" t="s">
        <v>8</v>
      </c>
      <c r="B61" s="4">
        <v>0.5297904293</v>
      </c>
      <c r="C61" s="3" t="s">
        <v>5</v>
      </c>
      <c r="D61" s="3" t="s">
        <v>99</v>
      </c>
    </row>
    <row x14ac:dyDescent="0.25" r="62" customHeight="1" ht="17.25">
      <c r="A62" s="3" t="s">
        <v>100</v>
      </c>
      <c r="B62" s="4">
        <v>99.91</v>
      </c>
      <c r="C62" s="3"/>
      <c r="D62" s="3" t="s">
        <v>99</v>
      </c>
    </row>
    <row x14ac:dyDescent="0.25" r="63" customHeight="1" ht="17.25">
      <c r="A63" s="3" t="s">
        <v>101</v>
      </c>
      <c r="B63" s="4">
        <v>401.2110889997</v>
      </c>
      <c r="C63" s="3" t="s">
        <v>5</v>
      </c>
      <c r="D63" s="3" t="s">
        <v>102</v>
      </c>
    </row>
    <row x14ac:dyDescent="0.25" r="64" customHeight="1" ht="17.25">
      <c r="A64" s="3" t="s">
        <v>103</v>
      </c>
      <c r="B64" s="4">
        <v>135.4280622742</v>
      </c>
      <c r="C64" s="3" t="s">
        <v>5</v>
      </c>
      <c r="D64" s="3" t="s">
        <v>102</v>
      </c>
    </row>
    <row x14ac:dyDescent="0.25" r="65" customHeight="1" ht="17.25">
      <c r="A65" s="3" t="s">
        <v>104</v>
      </c>
      <c r="B65" s="4">
        <v>23.282794117</v>
      </c>
      <c r="C65" s="3" t="s">
        <v>5</v>
      </c>
      <c r="D65" s="3" t="s">
        <v>102</v>
      </c>
    </row>
    <row x14ac:dyDescent="0.25" r="66" customHeight="1" ht="17.25">
      <c r="A66" s="3" t="s">
        <v>105</v>
      </c>
      <c r="B66" s="4">
        <v>16.0071379729</v>
      </c>
      <c r="C66" s="3" t="s">
        <v>5</v>
      </c>
      <c r="D66" s="3" t="s">
        <v>106</v>
      </c>
    </row>
    <row x14ac:dyDescent="0.25" r="67" customHeight="1" ht="17.25">
      <c r="A67" s="3" t="s">
        <v>107</v>
      </c>
      <c r="B67" s="4">
        <v>81.75</v>
      </c>
      <c r="C67" s="3"/>
      <c r="D67" s="3" t="s">
        <v>106</v>
      </c>
    </row>
    <row x14ac:dyDescent="0.25" r="68" customHeight="1" ht="17.25">
      <c r="A68" s="3" t="s">
        <v>108</v>
      </c>
      <c r="B68" s="4">
        <v>34.8657445039</v>
      </c>
      <c r="C68" s="3" t="s">
        <v>5</v>
      </c>
      <c r="D68" s="3" t="s">
        <v>109</v>
      </c>
    </row>
    <row x14ac:dyDescent="0.25" r="69" customHeight="1" ht="17.25">
      <c r="A69" s="3" t="s">
        <v>110</v>
      </c>
      <c r="B69" s="4">
        <v>57.11</v>
      </c>
      <c r="C69" s="3"/>
      <c r="D69" s="3" t="s">
        <v>109</v>
      </c>
    </row>
    <row x14ac:dyDescent="0.25" r="70" customHeight="1" ht="17.25">
      <c r="A70" s="3" t="s">
        <v>111</v>
      </c>
      <c r="B70" s="4">
        <v>4.726334991</v>
      </c>
      <c r="C70" s="3" t="s">
        <v>5</v>
      </c>
      <c r="D70" s="3" t="s">
        <v>112</v>
      </c>
    </row>
    <row x14ac:dyDescent="0.25" r="71" customHeight="1" ht="17.25">
      <c r="A71" s="3" t="s">
        <v>113</v>
      </c>
      <c r="B71" s="4">
        <v>57.85</v>
      </c>
      <c r="C71" s="3"/>
      <c r="D71" s="3" t="s">
        <v>112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9</vt:i4>
      </vt:variant>
    </vt:vector>
  </HeadingPairs>
  <TitlesOfParts>
    <vt:vector baseType="lpstr" size="9">
      <vt:lpstr>00_overview</vt:lpstr>
      <vt:lpstr>01_kpi_dashboard</vt:lpstr>
      <vt:lpstr>02_financial_summary</vt:lpstr>
      <vt:lpstr>03_debt_profile</vt:lpstr>
      <vt:lpstr>04_liquidity_and_covenants</vt:lpstr>
      <vt:lpstr>05_financing_cost</vt:lpstr>
      <vt:lpstr>06_platform_special</vt:lpstr>
      <vt:lpstr>99_evidence_index</vt:lpstr>
      <vt:lpstr>RAW_INPUTS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2026-04-06T06:40:18.229Z</dcterms:created>
  <dcterms:modified xsi:type="dcterms:W3CDTF">2026-04-06T06:40:18.229Z</dcterms:modified>
</cp:coreProperties>
</file>