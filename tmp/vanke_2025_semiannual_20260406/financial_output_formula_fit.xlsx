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asset_quality" sheetId="6" state="visible" r:id="rId6"/>
    <sheet name="06_cash_flow_bridge" sheetId="7" state="visible" r:id="rId7"/>
    <sheet name="07_notes_map" sheetId="8" state="visible" r:id="rId8"/>
    <sheet name="08_management_support" sheetId="9" state="visible" r:id="rId9"/>
    <sheet name="09_capital_structure" sheetId="10" state="visible" r:id="rId10"/>
    <sheet name="99_evidence_index" sheetId="11" state="visible" r:id="rId11"/>
    <sheet name="RAW_00_overview" sheetId="12" state="hidden" r:id="rId12"/>
    <sheet name="RAW_03_debt_profile" sheetId="13" state="hidden" r:id="rId13"/>
    <sheet name="RAW_06_cash_flow_bridge" sheetId="14" state="hidden" r:id="rId14"/>
  </sheets>
  <definedNames/>
  <calcPr calcId="124519" fullCalcOnLoad="1" forceFullCalc="1"/>
</workbook>
</file>

<file path=xl/styles.xml><?xml version="1.0" encoding="utf-8"?>
<styleSheet xmlns="http://schemas.openxmlformats.org/spreadsheetml/2006/main">
  <numFmts count="2">
    <numFmt numFmtId="164" formatCode="#,##0.00;(#,##0.00)"/>
    <numFmt numFmtId="165" formatCode="0.00x"/>
  </numFmts>
  <fonts count="5">
    <font>
      <name val="Calibri"/>
      <family val="2"/>
      <color theme="1"/>
      <sz val="11"/>
      <scheme val="minor"/>
    </font>
    <font>
      <b val="1"/>
      <color rgb="00FFFFFF"/>
      <sz val="14"/>
    </font>
    <font>
      <b val="1"/>
      <color rgb="001F1F1F"/>
      <sz val="12"/>
    </font>
    <font>
      <b val="1"/>
      <color rgb="00FFFFFF"/>
    </font>
    <font>
      <b val="1"/>
    </font>
  </fonts>
  <fills count="6">
    <fill>
      <patternFill/>
    </fill>
    <fill>
      <patternFill patternType="gray125"/>
    </fill>
    <fill>
      <patternFill patternType="solid">
        <fgColor rgb="00173A5E"/>
      </patternFill>
    </fill>
    <fill>
      <patternFill patternType="solid">
        <fgColor rgb="00F7FAFD"/>
      </patternFill>
    </fill>
    <fill>
      <patternFill patternType="solid">
        <fgColor rgb="00D9EAF7"/>
      </patternFill>
    </fill>
    <fill>
      <patternFill patternType="solid">
        <fgColor rgb="002F5E86"/>
      </patternFill>
    </fill>
  </fills>
  <borders count="9">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center" wrapText="1"/>
    </xf>
    <xf numFmtId="0" fontId="2" fillId="4"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5" borderId="1" applyAlignment="1" pivotButton="0" quotePrefix="0" xfId="0">
      <alignment horizontal="center" vertical="center" wrapText="1"/>
    </xf>
    <xf numFmtId="164"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3" borderId="1" applyAlignment="1" pivotButton="0" quotePrefix="0" xfId="0">
      <alignment horizontal="left" vertical="center" wrapText="1"/>
    </xf>
    <xf numFmtId="10"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3" fontId="0" fillId="0" borderId="1" applyAlignment="1" pivotButton="0" quotePrefix="0" xfId="0">
      <alignment horizontal="left"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showFormulas="1"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28" customWidth="1" min="5" max="5"/>
    <col width="18" customWidth="1" min="6" max="6"/>
    <col width="18" customWidth="1" min="7" max="7"/>
    <col width="18" customWidth="1" min="8" max="8"/>
  </cols>
  <sheetData>
    <row r="1">
      <c r="A1" s="1" t="inlineStr">
        <is>
          <t>万科企业股份有限公司 2025年半年度附注优先分析底稿</t>
        </is>
      </c>
    </row>
    <row r="2">
      <c r="A2" s="2" t="inlineStr">
        <is>
          <t>来源：ChinaMoney 发现 + CNInfo 回退下载；MinerU 解析；financial-analyzer 生成底稿后人工正式化。</t>
        </is>
      </c>
    </row>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f>RAW_00_overview!B14</f>
        <v/>
      </c>
      <c r="C14" s="7">
        <f>RAW_00_overview!C14</f>
        <v/>
      </c>
      <c r="D14" s="8">
        <f>B14/C14-1</f>
        <v/>
      </c>
      <c r="E14" s="9" t="inlineStr">
        <is>
          <t>收入下滑</t>
        </is>
      </c>
    </row>
    <row r="15">
      <c r="A15" s="5" t="inlineStr">
        <is>
          <t>归母净利润(亿元)</t>
        </is>
      </c>
      <c r="B15" s="7">
        <f>RAW_00_overview!B15</f>
        <v/>
      </c>
      <c r="C15" s="7">
        <f>RAW_00_overview!C15</f>
        <v/>
      </c>
      <c r="D15" s="8">
        <f>B15/C15-1</f>
        <v/>
      </c>
      <c r="E15" s="9" t="inlineStr">
        <is>
          <t>亏损扩大</t>
        </is>
      </c>
    </row>
    <row r="16">
      <c r="A16" s="5" t="inlineStr">
        <is>
          <t>经营现金流(亿元)</t>
        </is>
      </c>
      <c r="B16" s="7">
        <f>RAW_00_overview!B16</f>
        <v/>
      </c>
      <c r="C16" s="7">
        <f>RAW_00_overview!C16</f>
        <v/>
      </c>
      <c r="D16" s="8">
        <f>B16/C16-1</f>
        <v/>
      </c>
      <c r="E16" s="9" t="inlineStr">
        <is>
          <t>仍为负</t>
        </is>
      </c>
    </row>
    <row r="17">
      <c r="A17" s="5" t="inlineStr">
        <is>
          <t>可动用现金(亿元)</t>
        </is>
      </c>
      <c r="B17" s="7">
        <f>RAW_00_overview!B17</f>
        <v/>
      </c>
      <c r="C17" s="7">
        <f>RAW_00_overview!C17</f>
        <v/>
      </c>
      <c r="D17" s="10">
        <f>B17/C17</f>
        <v/>
      </c>
      <c r="E17" s="9" t="inlineStr">
        <is>
          <t>剔除受限资金</t>
        </is>
      </c>
    </row>
    <row r="18">
      <c r="A18" s="5" t="inlineStr">
        <is>
          <t>近端到期债务(亿元)</t>
        </is>
      </c>
      <c r="B18" s="7">
        <f>RAW_00_overview!B18</f>
        <v/>
      </c>
      <c r="C18" s="7">
        <f>RAW_00_overview!C18</f>
        <v/>
      </c>
      <c r="D18" s="9" t="inlineStr"/>
      <c r="E18" s="9" t="inlineStr">
        <is>
          <t>短债+一年内到期借款/债券/租赁/利息</t>
        </is>
      </c>
    </row>
    <row r="19">
      <c r="A19" s="5" t="inlineStr">
        <is>
          <t>存货净额(亿元)</t>
        </is>
      </c>
      <c r="B19" s="7">
        <f>RAW_00_overview!B19</f>
        <v/>
      </c>
      <c r="C19" s="7">
        <f>RAW_00_overview!C19</f>
        <v/>
      </c>
      <c r="D19" s="8">
        <f>B19/C19</f>
        <v/>
      </c>
      <c r="E19" s="9" t="inlineStr">
        <is>
          <t>计提减值 152.41 亿元</t>
        </is>
      </c>
    </row>
    <row r="20">
      <c r="A20" s="5" t="inlineStr">
        <is>
          <t>其他应收款净额(亿元)</t>
        </is>
      </c>
      <c r="B20" s="7">
        <f>RAW_00_overview!B20</f>
        <v/>
      </c>
      <c r="C20" s="7">
        <f>RAW_00_overview!C20</f>
        <v/>
      </c>
      <c r="D20" s="8">
        <f>B20/C20</f>
        <v/>
      </c>
      <c r="E20" s="9" t="inlineStr">
        <is>
          <t>97.47% 单项计提</t>
        </is>
      </c>
    </row>
    <row r="21">
      <c r="A21" s="5" t="inlineStr">
        <is>
          <t>合同负债(亿元)</t>
        </is>
      </c>
      <c r="B21" s="7">
        <f>RAW_00_overview!B21</f>
        <v/>
      </c>
      <c r="C21" s="7">
        <f>RAW_00_overview!C21</f>
        <v/>
      </c>
      <c r="D21" s="8">
        <f>B21/C21</f>
        <v/>
      </c>
      <c r="E21" s="9" t="inlineStr">
        <is>
          <t>一年以上占 44.58%</t>
        </is>
      </c>
    </row>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mergeCells count="5">
    <mergeCell ref="A9:H10"/>
    <mergeCell ref="A2:H2"/>
    <mergeCell ref="A1:H1"/>
    <mergeCell ref="A5:H6"/>
    <mergeCell ref="A24:H25"/>
  </mergeCells>
  <pageMargins left="0.25" right="0.25" top="0.3" bottom="0.3" header="0.15" footer="0.1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4" customWidth="1" min="5" max="5"/>
    <col width="10" customWidth="1" min="6" max="6"/>
    <col width="22" customWidth="1" min="7" max="7"/>
  </cols>
  <sheetData>
    <row r="1">
      <c r="A1" s="1" t="inlineStr">
        <is>
          <t>KPI Dashboard</t>
        </is>
      </c>
    </row>
    <row r="2">
      <c r="A2" s="2" t="inlineStr">
        <is>
          <t>用于快速扫描收入、利润、现金和杠杆四条主线。</t>
        </is>
      </c>
    </row>
    <row r="4">
      <c r="A4" s="6" t="inlineStr">
        <is>
          <t>分类</t>
        </is>
      </c>
      <c r="B4" s="6" t="inlineStr">
        <is>
          <t>指标</t>
        </is>
      </c>
      <c r="C4" s="6" t="inlineStr">
        <is>
          <t>2025H1</t>
        </is>
      </c>
      <c r="D4" s="6" t="inlineStr">
        <is>
          <t>2024H1/2024YE</t>
        </is>
      </c>
      <c r="E4" s="6" t="inlineStr">
        <is>
          <t>变化</t>
        </is>
      </c>
      <c r="F4" s="6" t="inlineStr">
        <is>
          <t>单位</t>
        </is>
      </c>
      <c r="G4" s="6" t="inlineStr">
        <is>
          <t>风险判断</t>
        </is>
      </c>
      <c r="H4" s="6" t="n"/>
    </row>
    <row r="5">
      <c r="A5" s="5" t="inlineStr">
        <is>
          <t>盈利</t>
        </is>
      </c>
      <c r="B5" s="5" t="inlineStr">
        <is>
          <t>营业收入</t>
        </is>
      </c>
      <c r="C5" s="7" t="n">
        <v>1053.2330440914</v>
      </c>
      <c r="D5" s="7" t="n">
        <v>1427.787640798</v>
      </c>
      <c r="E5" s="7" t="n">
        <v>-0.2623321466049804</v>
      </c>
      <c r="F5" s="9" t="inlineStr">
        <is>
          <t>亿元</t>
        </is>
      </c>
      <c r="G5" s="5" t="inlineStr">
        <is>
          <t>收入明显下行</t>
        </is>
      </c>
    </row>
    <row r="6">
      <c r="A6" s="5" t="inlineStr">
        <is>
          <t>盈利</t>
        </is>
      </c>
      <c r="B6" s="5" t="inlineStr">
        <is>
          <t>归母净利润</t>
        </is>
      </c>
      <c r="C6" s="7" t="n">
        <v>-119.4657368812</v>
      </c>
      <c r="D6" s="7" t="n">
        <v>-98.52499598839999</v>
      </c>
      <c r="E6" s="7" t="n">
        <v>-0.2125424181216459</v>
      </c>
      <c r="F6" s="9" t="inlineStr">
        <is>
          <t>亿元</t>
        </is>
      </c>
      <c r="G6" s="5" t="inlineStr">
        <is>
          <t>亏损扩大</t>
        </is>
      </c>
    </row>
    <row r="7">
      <c r="A7" s="5" t="inlineStr">
        <is>
          <t>盈利</t>
        </is>
      </c>
      <c r="B7" s="5" t="inlineStr">
        <is>
          <t>ROE</t>
        </is>
      </c>
      <c r="C7" s="8" t="n">
        <v>-0.0607</v>
      </c>
      <c r="D7" s="8" t="inlineStr"/>
      <c r="E7" s="9" t="inlineStr"/>
      <c r="F7" s="9" t="inlineStr">
        <is>
          <t>%</t>
        </is>
      </c>
      <c r="G7" s="5" t="inlineStr">
        <is>
          <t>股东回报为负</t>
        </is>
      </c>
    </row>
    <row r="8">
      <c r="A8" s="5" t="inlineStr">
        <is>
          <t>现金</t>
        </is>
      </c>
      <c r="B8" s="5" t="inlineStr">
        <is>
          <t>经营活动现金流</t>
        </is>
      </c>
      <c r="C8" s="7" t="n">
        <v>-30.3870459278</v>
      </c>
      <c r="D8" s="7" t="n">
        <v>-51.763258111</v>
      </c>
      <c r="E8" s="7" t="n">
        <v>0.4129611033633416</v>
      </c>
      <c r="F8" s="9" t="inlineStr">
        <is>
          <t>亿元</t>
        </is>
      </c>
      <c r="G8" s="5" t="inlineStr">
        <is>
          <t>仍为负</t>
        </is>
      </c>
    </row>
    <row r="9">
      <c r="A9" s="5" t="inlineStr">
        <is>
          <t>流动性</t>
        </is>
      </c>
      <c r="B9" s="5" t="inlineStr">
        <is>
          <t>可动用现金</t>
        </is>
      </c>
      <c r="C9" s="7" t="n">
        <v>693.4756277666</v>
      </c>
      <c r="D9" s="7" t="n">
        <v>740.0226377873</v>
      </c>
      <c r="E9" s="10" t="n">
        <v>0.514779700323822</v>
      </c>
      <c r="F9" s="9" t="inlineStr">
        <is>
          <t>亿元/x</t>
        </is>
      </c>
      <c r="G9" s="5" t="inlineStr">
        <is>
          <t>覆盖不足</t>
        </is>
      </c>
    </row>
    <row r="10">
      <c r="A10" s="5" t="inlineStr">
        <is>
          <t>流动性</t>
        </is>
      </c>
      <c r="B10" s="5" t="inlineStr">
        <is>
          <t>近端到期债务</t>
        </is>
      </c>
      <c r="C10" s="7" t="n">
        <v>1347.1308742951</v>
      </c>
      <c r="D10" s="7" t="n">
        <v>1460.4556838992</v>
      </c>
      <c r="E10" s="9" t="inlineStr"/>
      <c r="F10" s="9" t="inlineStr">
        <is>
          <t>亿元</t>
        </is>
      </c>
      <c r="G10" s="5" t="inlineStr">
        <is>
          <t>再融资压力大</t>
        </is>
      </c>
    </row>
    <row r="11">
      <c r="A11" s="5" t="inlineStr">
        <is>
          <t>融资</t>
        </is>
      </c>
      <c r="B11" s="5" t="inlineStr">
        <is>
          <t>半年名义融资成本率</t>
        </is>
      </c>
      <c r="C11" s="8" t="n">
        <v>0.019</v>
      </c>
      <c r="D11" s="8" t="inlineStr"/>
      <c r="E11" s="9" t="inlineStr"/>
      <c r="F11" s="9" t="inlineStr">
        <is>
          <t>%</t>
        </is>
      </c>
      <c r="G11" s="5" t="inlineStr">
        <is>
          <t>不含资本化利息</t>
        </is>
      </c>
    </row>
    <row r="12">
      <c r="A12" s="5" t="inlineStr">
        <is>
          <t>融资</t>
        </is>
      </c>
      <c r="B12" s="5" t="inlineStr">
        <is>
          <t>半年融资成本率（含资本化）</t>
        </is>
      </c>
      <c r="C12" s="8" t="n">
        <v>0.02644189706589304</v>
      </c>
      <c r="D12" s="8" t="inlineStr"/>
      <c r="E12" s="9" t="inlineStr"/>
      <c r="F12" s="9" t="inlineStr">
        <is>
          <t>%</t>
        </is>
      </c>
      <c r="G12" s="5" t="inlineStr">
        <is>
          <t>按平均有息债务规模口径</t>
        </is>
      </c>
    </row>
    <row r="13">
      <c r="A13" s="5" t="inlineStr">
        <is>
          <t>融资</t>
        </is>
      </c>
      <c r="B13" s="5" t="inlineStr">
        <is>
          <t>年化融资成本率</t>
        </is>
      </c>
      <c r="C13" s="8" t="n">
        <v>0.05288379413178607</v>
      </c>
      <c r="D13" s="8" t="inlineStr"/>
      <c r="E13" s="9" t="inlineStr"/>
      <c r="F13" s="9" t="inlineStr">
        <is>
          <t>%</t>
        </is>
      </c>
      <c r="G13" s="5" t="inlineStr">
        <is>
          <t>按平均有息债务规模折年</t>
        </is>
      </c>
    </row>
    <row r="14">
      <c r="A14" s="5" t="inlineStr">
        <is>
          <t>资产质量</t>
        </is>
      </c>
      <c r="B14" s="5" t="inlineStr">
        <is>
          <t>其他应收款净额</t>
        </is>
      </c>
      <c r="C14" s="7" t="n">
        <v>2152.5981990802</v>
      </c>
      <c r="D14" s="7" t="n">
        <v>2213.595907895</v>
      </c>
      <c r="E14" s="7" t="n">
        <v>0.1158983427288391</v>
      </c>
      <c r="F14" s="9" t="inlineStr">
        <is>
          <t>亿元</t>
        </is>
      </c>
      <c r="G14" s="5" t="inlineStr">
        <is>
          <t>沉淀资金高</t>
        </is>
      </c>
    </row>
    <row r="15">
      <c r="A15" s="5" t="inlineStr">
        <is>
          <t>资产质量</t>
        </is>
      </c>
      <c r="B15" s="5" t="inlineStr">
        <is>
          <t>存货净额</t>
        </is>
      </c>
      <c r="C15" s="7" t="n">
        <v>4625.1854059268</v>
      </c>
      <c r="D15" s="7" t="n">
        <v>5190.0943984678</v>
      </c>
      <c r="E15" s="7" t="n">
        <v>0.03295181655911592</v>
      </c>
      <c r="F15" s="9" t="inlineStr">
        <is>
          <t>亿元</t>
        </is>
      </c>
      <c r="G15" s="5" t="inlineStr">
        <is>
          <t>去化与减值并存</t>
        </is>
      </c>
    </row>
    <row r="16">
      <c r="A16" s="5" t="inlineStr">
        <is>
          <t>资产质量</t>
        </is>
      </c>
      <c r="B16" s="5" t="inlineStr">
        <is>
          <t>投资性房地产净额</t>
        </is>
      </c>
      <c r="C16" s="7" t="n">
        <v>1373.625423372</v>
      </c>
      <c r="D16" s="7" t="n">
        <v>1410.5736917498</v>
      </c>
      <c r="E16" s="7" t="n">
        <v>0.5827353626806181</v>
      </c>
      <c r="F16" s="9" t="inlineStr">
        <is>
          <t>亿元</t>
        </is>
      </c>
      <c r="G16" s="5" t="inlineStr">
        <is>
          <t>抵押深度高</t>
        </is>
      </c>
    </row>
    <row r="17">
      <c r="A17" s="5" t="inlineStr">
        <is>
          <t>资产质量</t>
        </is>
      </c>
      <c r="B17" s="5" t="inlineStr">
        <is>
          <t>合同负债</t>
        </is>
      </c>
      <c r="C17" s="7" t="n">
        <v>1580.0311617993</v>
      </c>
      <c r="D17" s="7" t="n">
        <v>1923.6111255718</v>
      </c>
      <c r="E17" s="7" t="n">
        <v>0.445826569081096</v>
      </c>
      <c r="F17" s="9" t="inlineStr">
        <is>
          <t>亿元</t>
        </is>
      </c>
      <c r="G17" s="5" t="inlineStr">
        <is>
          <t>预收款仍是周转源</t>
        </is>
      </c>
    </row>
  </sheetData>
  <mergeCells count="2">
    <mergeCell ref="A2:H2"/>
    <mergeCell ref="A1:H1"/>
  </mergeCells>
  <pageMargins left="0.25" right="0.25" top="0.3" bottom="0.3" header="0.15" footer="0.1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Financial Summary</t>
        </is>
      </c>
    </row>
    <row r="2">
      <c r="A2" s="2" t="inlineStr">
        <is>
          <t>收入、利润、每股和现金流的低频摘要。</t>
        </is>
      </c>
    </row>
    <row r="4">
      <c r="A4" s="3" t="inlineStr">
        <is>
          <t>利润表摘要</t>
        </is>
      </c>
    </row>
    <row r="5">
      <c r="A5" s="6" t="inlineStr">
        <is>
          <t>项目</t>
        </is>
      </c>
      <c r="B5" s="6" t="inlineStr">
        <is>
          <t>期间</t>
        </is>
      </c>
      <c r="C5" s="6" t="inlineStr">
        <is>
          <t>数值</t>
        </is>
      </c>
      <c r="D5" s="6" t="inlineStr">
        <is>
          <t>单位</t>
        </is>
      </c>
      <c r="E5" s="6" t="inlineStr">
        <is>
          <t>说明</t>
        </is>
      </c>
    </row>
    <row r="6">
      <c r="A6" s="5" t="inlineStr">
        <is>
          <t>营业收入</t>
        </is>
      </c>
      <c r="B6" s="9" t="inlineStr">
        <is>
          <t>2025H1</t>
        </is>
      </c>
      <c r="C6" s="7" t="n">
        <v>1053.2330440914</v>
      </c>
      <c r="D6" s="9" t="inlineStr">
        <is>
          <t>亿元</t>
        </is>
      </c>
      <c r="E6" s="9" t="inlineStr">
        <is>
          <t>同比 -26.23%</t>
        </is>
      </c>
    </row>
    <row r="7">
      <c r="A7" s="5" t="inlineStr">
        <is>
          <t>投资收益</t>
        </is>
      </c>
      <c r="B7" s="9" t="inlineStr">
        <is>
          <t>2025H1</t>
        </is>
      </c>
      <c r="C7" s="7" t="n">
        <v>-5.6798009753</v>
      </c>
      <c r="D7" s="9" t="inlineStr">
        <is>
          <t>亿元</t>
        </is>
      </c>
      <c r="E7" s="9" t="inlineStr">
        <is>
          <t>损失</t>
        </is>
      </c>
    </row>
    <row r="8">
      <c r="A8" s="5" t="inlineStr">
        <is>
          <t>营业收入/归母净利润</t>
        </is>
      </c>
      <c r="B8" s="9" t="inlineStr">
        <is>
          <t>2025H1</t>
        </is>
      </c>
      <c r="C8" s="7" t="n">
        <v>8.816193425724764</v>
      </c>
      <c r="D8" s="9" t="inlineStr">
        <is>
          <t>倍</t>
        </is>
      </c>
      <c r="E8" s="9" t="inlineStr">
        <is>
          <t>营收仍覆盖不了亏损规模</t>
        </is>
      </c>
    </row>
    <row r="9">
      <c r="A9" s="5" t="inlineStr">
        <is>
          <t>归母净利润</t>
        </is>
      </c>
      <c r="B9" s="9" t="inlineStr">
        <is>
          <t>2025H1</t>
        </is>
      </c>
      <c r="C9" s="7" t="n">
        <v>-119.4657368812</v>
      </c>
      <c r="D9" s="9" t="inlineStr">
        <is>
          <t>亿元</t>
        </is>
      </c>
      <c r="E9" s="9" t="inlineStr">
        <is>
          <t>亏损</t>
        </is>
      </c>
    </row>
    <row r="10">
      <c r="A10" s="5" t="inlineStr">
        <is>
          <t>基本每股收益</t>
        </is>
      </c>
      <c r="B10" s="9" t="inlineStr">
        <is>
          <t>2025H1</t>
        </is>
      </c>
      <c r="C10" s="7" t="n">
        <v>-1.01</v>
      </c>
      <c r="D10" s="9" t="inlineStr">
        <is>
          <t>元</t>
        </is>
      </c>
      <c r="E10" s="9" t="inlineStr">
        <is>
          <t>为负</t>
        </is>
      </c>
    </row>
    <row r="11">
      <c r="A11" s="5" t="inlineStr">
        <is>
          <t>ROE</t>
        </is>
      </c>
      <c r="B11" s="9" t="inlineStr">
        <is>
          <t>2025H1</t>
        </is>
      </c>
      <c r="C11" s="8" t="n">
        <v>-0.0607</v>
      </c>
      <c r="D11" s="9" t="inlineStr">
        <is>
          <t>%</t>
        </is>
      </c>
      <c r="E11" s="9" t="inlineStr">
        <is>
          <t>为负</t>
        </is>
      </c>
    </row>
    <row r="13">
      <c r="A13" s="3" t="inlineStr">
        <is>
          <t>现金流摘要</t>
        </is>
      </c>
    </row>
    <row r="14">
      <c r="A14" s="6" t="inlineStr">
        <is>
          <t>项目</t>
        </is>
      </c>
      <c r="B14" s="6" t="inlineStr">
        <is>
          <t>期间</t>
        </is>
      </c>
      <c r="C14" s="6" t="inlineStr">
        <is>
          <t>数值</t>
        </is>
      </c>
      <c r="D14" s="6" t="inlineStr">
        <is>
          <t>单位</t>
        </is>
      </c>
      <c r="E14" s="6" t="inlineStr">
        <is>
          <t>说明</t>
        </is>
      </c>
    </row>
    <row r="15">
      <c r="A15" s="5" t="inlineStr">
        <is>
          <t>经营活动现金流净额</t>
        </is>
      </c>
      <c r="B15" s="9" t="inlineStr">
        <is>
          <t>2025H1</t>
        </is>
      </c>
      <c r="C15" s="7" t="n">
        <v>-30.3870459278</v>
      </c>
      <c r="D15" s="9" t="inlineStr">
        <is>
          <t>亿元</t>
        </is>
      </c>
      <c r="E15" s="9" t="inlineStr">
        <is>
          <t>仍为负</t>
        </is>
      </c>
    </row>
    <row r="16">
      <c r="A16" s="5" t="inlineStr">
        <is>
          <t>购买/收回理财产品</t>
        </is>
      </c>
      <c r="B16" s="9" t="inlineStr">
        <is>
          <t>2025H1</t>
        </is>
      </c>
      <c r="C16" s="7" t="n">
        <v>1.6270308219</v>
      </c>
      <c r="D16" s="9" t="inlineStr">
        <is>
          <t>亿元</t>
        </is>
      </c>
      <c r="E16" s="9" t="inlineStr">
        <is>
          <t>现金管理</t>
        </is>
      </c>
    </row>
    <row r="17">
      <c r="A17" s="5" t="inlineStr">
        <is>
          <t>收到利息收入</t>
        </is>
      </c>
      <c r="B17" s="9" t="inlineStr">
        <is>
          <t>2025H1</t>
        </is>
      </c>
      <c r="C17" s="7" t="n">
        <v>3.4169677678</v>
      </c>
      <c r="D17" s="9" t="inlineStr">
        <is>
          <t>亿元</t>
        </is>
      </c>
      <c r="E17" s="9" t="inlineStr">
        <is>
          <t>资金收益</t>
        </is>
      </c>
    </row>
    <row r="18">
      <c r="A18" s="5" t="inlineStr">
        <is>
          <t>融资活动负债净变动</t>
        </is>
      </c>
      <c r="B18" s="9" t="inlineStr">
        <is>
          <t>2025H1</t>
        </is>
      </c>
      <c r="C18" s="7" t="n">
        <v>1.465874547</v>
      </c>
      <c r="D18" s="9" t="inlineStr">
        <is>
          <t>亿元</t>
        </is>
      </c>
      <c r="E18" s="9" t="inlineStr">
        <is>
          <t>筹资活动净增</t>
        </is>
      </c>
    </row>
    <row r="20">
      <c r="A20" s="3" t="inlineStr">
        <is>
          <t>资产负债表摘要</t>
        </is>
      </c>
    </row>
    <row r="21">
      <c r="A21" s="6" t="inlineStr">
        <is>
          <t>项目</t>
        </is>
      </c>
      <c r="B21" s="6" t="inlineStr">
        <is>
          <t>期间</t>
        </is>
      </c>
      <c r="C21" s="6" t="inlineStr">
        <is>
          <t>数值</t>
        </is>
      </c>
      <c r="D21" s="6" t="inlineStr">
        <is>
          <t>单位</t>
        </is>
      </c>
      <c r="E21" s="6" t="inlineStr">
        <is>
          <t>说明</t>
        </is>
      </c>
    </row>
    <row r="22">
      <c r="A22" s="5" t="inlineStr">
        <is>
          <t>总资产</t>
        </is>
      </c>
      <c r="B22" s="9" t="inlineStr">
        <is>
          <t>2025H1</t>
        </is>
      </c>
      <c r="C22" s="7" t="n">
        <v>11941.4887477455</v>
      </c>
      <c r="D22" s="9" t="inlineStr">
        <is>
          <t>亿元</t>
        </is>
      </c>
      <c r="E22" s="9" t="inlineStr">
        <is>
          <t>资产规模仍大</t>
        </is>
      </c>
    </row>
    <row r="23">
      <c r="A23" s="5" t="inlineStr">
        <is>
          <t>总负债</t>
        </is>
      </c>
      <c r="B23" s="9" t="inlineStr">
        <is>
          <t>2025H1</t>
        </is>
      </c>
      <c r="C23" s="7" t="n">
        <v>8729.8833181349</v>
      </c>
      <c r="D23" s="9" t="inlineStr">
        <is>
          <t>亿元</t>
        </is>
      </c>
      <c r="E23" s="9" t="inlineStr">
        <is>
          <t>高杠杆</t>
        </is>
      </c>
    </row>
    <row r="24">
      <c r="A24" s="5" t="inlineStr">
        <is>
          <t>股东权益</t>
        </is>
      </c>
      <c r="B24" s="9" t="inlineStr">
        <is>
          <t>2025H1</t>
        </is>
      </c>
      <c r="C24" s="7" t="n">
        <v>1914.4081571619</v>
      </c>
      <c r="D24" s="9" t="inlineStr">
        <is>
          <t>亿元</t>
        </is>
      </c>
      <c r="E24" s="9" t="inlineStr">
        <is>
          <t>仍为正</t>
        </is>
      </c>
    </row>
    <row r="25">
      <c r="A25" s="5" t="inlineStr">
        <is>
          <t>资产负债率</t>
        </is>
      </c>
      <c r="B25" s="9" t="inlineStr">
        <is>
          <t>2025H1</t>
        </is>
      </c>
      <c r="C25" s="8" t="n">
        <v>0.7310548544278503</v>
      </c>
      <c r="D25" s="9" t="inlineStr">
        <is>
          <t>%</t>
        </is>
      </c>
      <c r="E25" s="9" t="inlineStr">
        <is>
          <t>杠杆偏高</t>
        </is>
      </c>
    </row>
  </sheetData>
  <mergeCells count="2">
    <mergeCell ref="A2:H2"/>
    <mergeCell ref="A1:H1"/>
  </mergeCells>
  <pageMargins left="0.25" right="0.25" top="0.3" bottom="0.3" header="0.15" footer="0.1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H34"/>
  <sheetViews>
    <sheetView showFormulas="1"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Debt Profile</t>
        </is>
      </c>
    </row>
    <row r="2">
      <c r="A2" s="2" t="inlineStr">
        <is>
          <t>近端债务、长期债务、债券和租赁负债的结构化拆分。</t>
        </is>
      </c>
    </row>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f>RAW_03_debt_profile!C6</f>
        <v/>
      </c>
      <c r="D6" s="9" t="inlineStr">
        <is>
          <t>亿元</t>
        </is>
      </c>
      <c r="E6" s="9" t="inlineStr">
        <is>
          <t>无逾期借款</t>
        </is>
      </c>
    </row>
    <row r="7">
      <c r="A7" s="5" t="inlineStr">
        <is>
          <t>一年内到期的应付债券</t>
        </is>
      </c>
      <c r="B7" s="9" t="inlineStr">
        <is>
          <t>2025H1</t>
        </is>
      </c>
      <c r="C7" s="7">
        <f>RAW_03_debt_profile!C7</f>
        <v/>
      </c>
      <c r="D7" s="9" t="inlineStr">
        <is>
          <t>亿元</t>
        </is>
      </c>
      <c r="E7" s="9" t="inlineStr">
        <is>
          <t>兑付压力</t>
        </is>
      </c>
    </row>
    <row r="8">
      <c r="A8" s="5" t="inlineStr">
        <is>
          <t>一年内到期的租赁负债</t>
        </is>
      </c>
      <c r="B8" s="9" t="inlineStr">
        <is>
          <t>2025H1</t>
        </is>
      </c>
      <c r="C8" s="7">
        <f>RAW_03_debt_profile!C8</f>
        <v/>
      </c>
      <c r="D8" s="9" t="inlineStr">
        <is>
          <t>亿元</t>
        </is>
      </c>
      <c r="E8" s="9" t="inlineStr">
        <is>
          <t>广义杠杆</t>
        </is>
      </c>
    </row>
    <row r="9">
      <c r="A9" s="5" t="inlineStr">
        <is>
          <t>一年内到期的应付利息</t>
        </is>
      </c>
      <c r="B9" s="9" t="inlineStr">
        <is>
          <t>2025H1</t>
        </is>
      </c>
      <c r="C9" s="7">
        <f>RAW_03_debt_profile!C9</f>
        <v/>
      </c>
      <c r="D9" s="9" t="inlineStr">
        <is>
          <t>亿元</t>
        </is>
      </c>
      <c r="E9" s="9" t="inlineStr">
        <is>
          <t>现金消耗</t>
        </is>
      </c>
    </row>
    <row r="10">
      <c r="A10" s="5" t="inlineStr">
        <is>
          <t>近端到期债务合计</t>
        </is>
      </c>
      <c r="B10" s="9" t="inlineStr">
        <is>
          <t>2025H1</t>
        </is>
      </c>
      <c r="C10" s="7">
        <f>SUM(C6:C9)</f>
        <v/>
      </c>
      <c r="D10" s="9" t="inlineStr">
        <is>
          <t>亿元</t>
        </is>
      </c>
      <c r="E10" s="9" t="inlineStr">
        <is>
          <t>关键压力口径</t>
        </is>
      </c>
    </row>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f>RAW_03_debt_profile!C14</f>
        <v/>
      </c>
      <c r="D14" s="9" t="inlineStr">
        <is>
          <t>亿元</t>
        </is>
      </c>
      <c r="E14" s="9" t="inlineStr">
        <is>
          <t>含各种抵押/信用/质押</t>
        </is>
      </c>
    </row>
    <row r="15">
      <c r="A15" s="5" t="inlineStr">
        <is>
          <t>应付债券净额</t>
        </is>
      </c>
      <c r="B15" s="9" t="inlineStr">
        <is>
          <t>2025H1</t>
        </is>
      </c>
      <c r="C15" s="7">
        <f>RAW_03_debt_profile!C15</f>
        <v/>
      </c>
      <c r="D15" s="9" t="inlineStr">
        <is>
          <t>亿元</t>
        </is>
      </c>
      <c r="E15" s="9" t="inlineStr">
        <is>
          <t>公开债为主</t>
        </is>
      </c>
    </row>
    <row r="16">
      <c r="A16" s="5" t="inlineStr">
        <is>
          <t>租赁负债净额</t>
        </is>
      </c>
      <c r="B16" s="9" t="inlineStr">
        <is>
          <t>2025H1</t>
        </is>
      </c>
      <c r="C16" s="7">
        <f>RAW_03_debt_profile!C16</f>
        <v/>
      </c>
      <c r="D16" s="9" t="inlineStr">
        <is>
          <t>亿元</t>
        </is>
      </c>
      <c r="E16" s="9" t="inlineStr">
        <is>
          <t>广义债务</t>
        </is>
      </c>
    </row>
    <row r="17">
      <c r="A17" s="5" t="inlineStr">
        <is>
          <t>有息债务规模（平均）</t>
        </is>
      </c>
      <c r="B17" s="9" t="inlineStr">
        <is>
          <t>2025H1</t>
        </is>
      </c>
      <c r="C17" s="7">
        <f>RAW_03_debt_profile!C17</f>
        <v/>
      </c>
      <c r="D17" s="9" t="inlineStr">
        <is>
          <t>亿元</t>
        </is>
      </c>
      <c r="E17" s="9" t="inlineStr">
        <is>
          <t>期初与期末余额平均</t>
        </is>
      </c>
    </row>
    <row r="18">
      <c r="A18" s="5" t="inlineStr">
        <is>
          <t>经调整净债务</t>
        </is>
      </c>
      <c r="B18" s="9" t="inlineStr">
        <is>
          <t>2025H1</t>
        </is>
      </c>
      <c r="C18" s="7">
        <f>RAW_03_debt_profile!C18</f>
        <v/>
      </c>
      <c r="D18" s="9" t="inlineStr">
        <is>
          <t>亿元</t>
        </is>
      </c>
      <c r="E18" s="9" t="inlineStr">
        <is>
          <t>总债务减货币资金</t>
        </is>
      </c>
    </row>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f>RAW_03_debt_profile!C22</f>
        <v/>
      </c>
      <c r="D22" s="9" t="inlineStr">
        <is>
          <t>亿元</t>
        </is>
      </c>
      <c r="E22" s="9" t="inlineStr">
        <is>
          <t>附注46，含未资本化部分</t>
        </is>
      </c>
    </row>
    <row r="23">
      <c r="A23" s="5" t="inlineStr">
        <is>
          <t>租赁负债的利息支出</t>
        </is>
      </c>
      <c r="B23" s="9" t="inlineStr">
        <is>
          <t>2025H1</t>
        </is>
      </c>
      <c r="C23" s="7">
        <f>RAW_03_debt_profile!C23</f>
        <v/>
      </c>
      <c r="D23" s="9" t="inlineStr">
        <is>
          <t>亿元</t>
        </is>
      </c>
      <c r="E23" s="9" t="inlineStr">
        <is>
          <t>附注46</t>
        </is>
      </c>
    </row>
    <row r="24">
      <c r="A24" s="5" t="inlineStr">
        <is>
          <t>小计：名义利息支出</t>
        </is>
      </c>
      <c r="B24" s="9" t="inlineStr">
        <is>
          <t>2025H1</t>
        </is>
      </c>
      <c r="C24" s="7">
        <f>SUM(C22:C23)</f>
        <v/>
      </c>
      <c r="D24" s="9" t="inlineStr">
        <is>
          <t>亿元</t>
        </is>
      </c>
      <c r="E24" s="9" t="inlineStr">
        <is>
          <t>借款、债券及应付款项利息 + 租赁利息</t>
        </is>
      </c>
    </row>
    <row r="25">
      <c r="A25" s="5" t="inlineStr">
        <is>
          <t>减：资本化利息</t>
        </is>
      </c>
      <c r="B25" s="9" t="inlineStr">
        <is>
          <t>2025H1</t>
        </is>
      </c>
      <c r="C25" s="7">
        <f>RAW_03_debt_profile!C25</f>
        <v/>
      </c>
      <c r="D25" s="9" t="inlineStr">
        <is>
          <t>亿元</t>
        </is>
      </c>
      <c r="E25" s="9" t="inlineStr">
        <is>
          <t>回到真实融资成本池</t>
        </is>
      </c>
    </row>
    <row r="26">
      <c r="A26" s="5" t="inlineStr">
        <is>
          <t>半年度融资成本（含资本化）</t>
        </is>
      </c>
      <c r="B26" s="9" t="inlineStr">
        <is>
          <t>2025H1</t>
        </is>
      </c>
      <c r="C26" s="7">
        <f>C24+C25</f>
        <v/>
      </c>
      <c r="D26" s="9" t="inlineStr">
        <is>
          <t>亿元</t>
        </is>
      </c>
      <c r="E26" s="9" t="inlineStr">
        <is>
          <t>融资成本分子</t>
        </is>
      </c>
    </row>
    <row r="27">
      <c r="A27" s="11" t="inlineStr">
        <is>
          <t>年化融资成本率</t>
        </is>
      </c>
      <c r="B27" s="4" t="inlineStr">
        <is>
          <t>2025H1x2</t>
        </is>
      </c>
      <c r="C27" s="12">
        <f>C26/C17</f>
        <v/>
      </c>
      <c r="D27" s="13" t="inlineStr">
        <is>
          <t>%</t>
        </is>
      </c>
      <c r="E27" s="4" t="inlineStr">
        <is>
          <t>按平均有息债务规模口径折年</t>
        </is>
      </c>
    </row>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f>RAW_03_debt_profile!C31</f>
        <v/>
      </c>
      <c r="D31" s="9" t="inlineStr">
        <is>
          <t>亿元</t>
        </is>
      </c>
      <c r="E31" s="9" t="inlineStr">
        <is>
          <t>分母</t>
        </is>
      </c>
    </row>
    <row r="32">
      <c r="A32" s="5" t="inlineStr">
        <is>
          <t>净债务/股东权益</t>
        </is>
      </c>
      <c r="B32" s="9" t="inlineStr">
        <is>
          <t>2025H1</t>
        </is>
      </c>
      <c r="C32" s="7">
        <f>C18/C31</f>
        <v/>
      </c>
      <c r="D32" s="9" t="inlineStr">
        <is>
          <t>x</t>
        </is>
      </c>
      <c r="E32" s="9" t="inlineStr">
        <is>
          <t>约 90.4%</t>
        </is>
      </c>
    </row>
    <row r="33">
      <c r="A33" s="5" t="inlineStr">
        <is>
          <t>总债务/股东权益</t>
        </is>
      </c>
      <c r="B33" s="9" t="inlineStr">
        <is>
          <t>2025H1</t>
        </is>
      </c>
      <c r="C33" s="7">
        <f>C17/C31</f>
        <v/>
      </c>
      <c r="D33" s="9" t="inlineStr">
        <is>
          <t>x</t>
        </is>
      </c>
      <c r="E33" s="9" t="inlineStr">
        <is>
          <t>约 113.4%</t>
        </is>
      </c>
    </row>
    <row r="34">
      <c r="A34" s="5" t="inlineStr">
        <is>
          <t>管理层披露财务契约借款规模</t>
        </is>
      </c>
      <c r="B34" s="9" t="inlineStr">
        <is>
          <t>2025H1</t>
        </is>
      </c>
      <c r="C34" s="7">
        <f>RAW_03_debt_profile!C34</f>
        <v/>
      </c>
      <c r="D34" s="9" t="inlineStr">
        <is>
          <t>亿元</t>
        </is>
      </c>
      <c r="E34" s="9" t="inlineStr">
        <is>
          <t>未触发实时偿还</t>
        </is>
      </c>
    </row>
  </sheetData>
  <mergeCells count="2">
    <mergeCell ref="A2:H2"/>
    <mergeCell ref="A1:H1"/>
  </mergeCells>
  <pageMargins left="0.25" right="0.25" top="0.3" bottom="0.3" header="0.15" footer="0.1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H20"/>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Liquidity and Covenants</t>
        </is>
      </c>
    </row>
    <row r="2">
      <c r="A2" s="2" t="inlineStr">
        <is>
          <t>现金、受限资产、管理层支持和契约约束放在同一页看。</t>
        </is>
      </c>
    </row>
    <row r="4">
      <c r="A4" s="3" t="inlineStr">
        <is>
          <t>现金与覆盖</t>
        </is>
      </c>
    </row>
    <row r="5">
      <c r="A5" s="6" t="inlineStr">
        <is>
          <t>项目</t>
        </is>
      </c>
      <c r="B5" s="6" t="inlineStr">
        <is>
          <t>期间</t>
        </is>
      </c>
      <c r="C5" s="6" t="inlineStr">
        <is>
          <t>数值</t>
        </is>
      </c>
      <c r="D5" s="6" t="inlineStr">
        <is>
          <t>单位</t>
        </is>
      </c>
      <c r="E5" s="6" t="inlineStr">
        <is>
          <t>备注</t>
        </is>
      </c>
    </row>
    <row r="6">
      <c r="A6" s="5" t="inlineStr">
        <is>
          <t>现金及现金等价物</t>
        </is>
      </c>
      <c r="B6" s="9" t="inlineStr">
        <is>
          <t>2025H1</t>
        </is>
      </c>
      <c r="C6" s="7" t="n">
        <v>740.0226377873</v>
      </c>
      <c r="D6" s="9" t="inlineStr">
        <is>
          <t>亿元</t>
        </is>
      </c>
      <c r="E6" s="9" t="inlineStr">
        <is>
          <t>名义现金</t>
        </is>
      </c>
    </row>
    <row r="7">
      <c r="A7" s="5" t="inlineStr">
        <is>
          <t>受限资金</t>
        </is>
      </c>
      <c r="B7" s="9" t="inlineStr">
        <is>
          <t>2025H1</t>
        </is>
      </c>
      <c r="C7" s="7" t="n">
        <v>46.5470100207</v>
      </c>
      <c r="D7" s="9" t="inlineStr">
        <is>
          <t>亿元</t>
        </is>
      </c>
      <c r="E7" s="9" t="inlineStr">
        <is>
          <t>不可自由动用</t>
        </is>
      </c>
    </row>
    <row r="8">
      <c r="A8" s="5" t="inlineStr">
        <is>
          <t>可动用现金</t>
        </is>
      </c>
      <c r="B8" s="9" t="inlineStr">
        <is>
          <t>2025H1</t>
        </is>
      </c>
      <c r="C8" s="7" t="n">
        <v>693.4756277666</v>
      </c>
      <c r="D8" s="9" t="inlineStr">
        <is>
          <t>亿元</t>
        </is>
      </c>
      <c r="E8" s="9" t="inlineStr">
        <is>
          <t>用于偿债覆盖</t>
        </is>
      </c>
    </row>
    <row r="9">
      <c r="A9" s="5" t="inlineStr">
        <is>
          <t>近端到期债务</t>
        </is>
      </c>
      <c r="B9" s="9" t="inlineStr">
        <is>
          <t>2025H1</t>
        </is>
      </c>
      <c r="C9" s="7" t="n">
        <v>1347.1308742951</v>
      </c>
      <c r="D9" s="9" t="inlineStr">
        <is>
          <t>亿元</t>
        </is>
      </c>
      <c r="E9" s="9" t="inlineStr">
        <is>
          <t>关键压力口径</t>
        </is>
      </c>
    </row>
    <row r="10">
      <c r="A10" s="5" t="inlineStr">
        <is>
          <t>现金覆盖率</t>
        </is>
      </c>
      <c r="B10" s="9" t="inlineStr">
        <is>
          <t>2025H1</t>
        </is>
      </c>
      <c r="C10" s="7" t="n">
        <v>0.514779700323822</v>
      </c>
      <c r="D10" s="9" t="inlineStr">
        <is>
          <t>x</t>
        </is>
      </c>
      <c r="E10" s="9" t="inlineStr">
        <is>
          <t>覆盖不足 1 倍</t>
        </is>
      </c>
    </row>
    <row r="12">
      <c r="A12" s="3" t="inlineStr">
        <is>
          <t>管理层支持</t>
        </is>
      </c>
    </row>
    <row r="13">
      <c r="A13" s="4" t="inlineStr">
        <is>
          <t>管理层在报告中披露：深铁集团累计向公司提供 238.8 亿元股东借款；上半年已完成 243.9 亿元公开债务偿还；2027 年之前无境外公开债到期。</t>
        </is>
      </c>
      <c r="B13" s="15" t="n"/>
      <c r="C13" s="15" t="n"/>
      <c r="D13" s="15" t="n"/>
      <c r="E13" s="15" t="n"/>
      <c r="F13" s="15" t="n"/>
      <c r="G13" s="15" t="n"/>
      <c r="H13" s="16" t="n"/>
    </row>
    <row r="14">
      <c r="A14" s="17" t="n"/>
      <c r="B14" s="18" t="n"/>
      <c r="C14" s="18" t="n"/>
      <c r="D14" s="18" t="n"/>
      <c r="E14" s="18" t="n"/>
      <c r="F14" s="18" t="n"/>
      <c r="G14" s="18" t="n"/>
      <c r="H14" s="19" t="n"/>
    </row>
    <row r="16">
      <c r="A16" s="3" t="inlineStr">
        <is>
          <t>契约与窗口</t>
        </is>
      </c>
    </row>
    <row r="17">
      <c r="A17" s="6" t="inlineStr">
        <is>
          <t>项目</t>
        </is>
      </c>
      <c r="B17" s="6" t="inlineStr">
        <is>
          <t>期间</t>
        </is>
      </c>
      <c r="C17" s="6" t="inlineStr">
        <is>
          <t>数值</t>
        </is>
      </c>
      <c r="D17" s="6" t="inlineStr">
        <is>
          <t>单位</t>
        </is>
      </c>
      <c r="E17" s="6" t="inlineStr">
        <is>
          <t>备注</t>
        </is>
      </c>
    </row>
    <row r="18">
      <c r="A18" s="5" t="inlineStr">
        <is>
          <t>附财务契约借款规模</t>
        </is>
      </c>
      <c r="B18" s="9" t="inlineStr">
        <is>
          <t>2025H1</t>
        </is>
      </c>
      <c r="C18" s="7" t="n">
        <v>103.944</v>
      </c>
      <c r="D18" s="9" t="inlineStr">
        <is>
          <t>亿元</t>
        </is>
      </c>
      <c r="E18" s="9" t="inlineStr">
        <is>
          <t>涉及财务比率约束</t>
        </is>
      </c>
    </row>
    <row r="19">
      <c r="A19" s="5" t="inlineStr">
        <is>
          <t>未逾期的一年内到期长期借款</t>
        </is>
      </c>
      <c r="B19" s="9" t="inlineStr">
        <is>
          <t>2025H1</t>
        </is>
      </c>
      <c r="C19" s="7" t="n">
        <v>1039.5369928947</v>
      </c>
      <c r="D19" s="9" t="inlineStr">
        <is>
          <t>亿元</t>
        </is>
      </c>
      <c r="E19" s="9" t="inlineStr">
        <is>
          <t>公司明确披露无逾期</t>
        </is>
      </c>
    </row>
    <row r="20">
      <c r="A20" s="5" t="inlineStr">
        <is>
          <t>资本结构总债务</t>
        </is>
      </c>
      <c r="B20" s="9" t="inlineStr">
        <is>
          <t>2025H1</t>
        </is>
      </c>
      <c r="C20" s="7" t="n">
        <v>3642.5768006561</v>
      </c>
      <c r="D20" s="9" t="inlineStr">
        <is>
          <t>亿元</t>
        </is>
      </c>
      <c r="E20" s="9" t="inlineStr">
        <is>
          <t>管理层口径</t>
        </is>
      </c>
    </row>
  </sheetData>
  <mergeCells count="3">
    <mergeCell ref="A2:H2"/>
    <mergeCell ref="A13:H14"/>
    <mergeCell ref="A1:H1"/>
  </mergeCells>
  <pageMargins left="0.25" right="0.25" top="0.3" bottom="0.3" header="0.15" footer="0.1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A1:H1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0" customWidth="1" min="4" max="4"/>
    <col width="28" customWidth="1" min="5" max="5"/>
  </cols>
  <sheetData>
    <row r="1">
      <c r="A1" s="1" t="inlineStr">
        <is>
          <t>Asset Quality</t>
        </is>
      </c>
    </row>
    <row r="2">
      <c r="A2" s="2" t="inlineStr">
        <is>
          <t>重点看“可变现性”和“是否被抵押”，不是只看账面规模。</t>
        </is>
      </c>
    </row>
    <row r="4">
      <c r="A4" s="3" t="inlineStr">
        <is>
          <t>核心资产</t>
        </is>
      </c>
    </row>
    <row r="5">
      <c r="A5" s="6" t="inlineStr">
        <is>
          <t>项目</t>
        </is>
      </c>
      <c r="B5" s="6" t="inlineStr">
        <is>
          <t>期间</t>
        </is>
      </c>
      <c r="C5" s="6" t="inlineStr">
        <is>
          <t>数值</t>
        </is>
      </c>
      <c r="D5" s="6" t="inlineStr">
        <is>
          <t>单位</t>
        </is>
      </c>
      <c r="E5" s="6" t="inlineStr">
        <is>
          <t>判断</t>
        </is>
      </c>
    </row>
    <row r="6">
      <c r="A6" s="5" t="inlineStr">
        <is>
          <t>应收账款净额</t>
        </is>
      </c>
      <c r="B6" s="9" t="inlineStr">
        <is>
          <t>2025H1</t>
        </is>
      </c>
      <c r="C6" s="7" t="n">
        <v>93.12158899550001</v>
      </c>
      <c r="D6" s="9" t="inlineStr">
        <is>
          <t>亿元</t>
        </is>
      </c>
      <c r="E6" s="9" t="inlineStr">
        <is>
          <t>坏账率 10.92%</t>
        </is>
      </c>
    </row>
    <row r="7">
      <c r="A7" s="5" t="inlineStr">
        <is>
          <t>其他应收款净额</t>
        </is>
      </c>
      <c r="B7" s="9" t="inlineStr">
        <is>
          <t>2025H1</t>
        </is>
      </c>
      <c r="C7" s="7" t="n">
        <v>2152.5981990802</v>
      </c>
      <c r="D7" s="9" t="inlineStr">
        <is>
          <t>亿元</t>
        </is>
      </c>
      <c r="E7" s="9" t="inlineStr">
        <is>
          <t>单项计提占比 97.47%</t>
        </is>
      </c>
    </row>
    <row r="8">
      <c r="A8" s="5" t="inlineStr">
        <is>
          <t>合同资产</t>
        </is>
      </c>
      <c r="B8" s="9" t="inlineStr">
        <is>
          <t>2025H1</t>
        </is>
      </c>
      <c r="C8" s="7" t="n">
        <v>123.3782147785</v>
      </c>
      <c r="D8" s="9" t="inlineStr">
        <is>
          <t>亿元</t>
        </is>
      </c>
      <c r="E8" s="9" t="inlineStr">
        <is>
          <t>政府/相关方为主</t>
        </is>
      </c>
    </row>
    <row r="9">
      <c r="A9" s="5" t="inlineStr">
        <is>
          <t>其他流动资产</t>
        </is>
      </c>
      <c r="B9" s="9" t="inlineStr">
        <is>
          <t>2025H1</t>
        </is>
      </c>
      <c r="C9" s="7" t="n">
        <v>127.017571863</v>
      </c>
      <c r="D9" s="9" t="inlineStr">
        <is>
          <t>亿元</t>
        </is>
      </c>
      <c r="E9" s="9" t="inlineStr">
        <is>
          <t>合同取得成本 + 待抵扣增值税</t>
        </is>
      </c>
    </row>
    <row r="10">
      <c r="A10" s="5" t="inlineStr">
        <is>
          <t>存货净额</t>
        </is>
      </c>
      <c r="B10" s="9" t="inlineStr">
        <is>
          <t>2025H1</t>
        </is>
      </c>
      <c r="C10" s="7" t="n">
        <v>4625.1854059268</v>
      </c>
      <c r="D10" s="9" t="inlineStr">
        <is>
          <t>亿元</t>
        </is>
      </c>
      <c r="E10" s="9" t="inlineStr">
        <is>
          <t>减值率 3.30%</t>
        </is>
      </c>
    </row>
    <row r="11">
      <c r="A11" s="5" t="inlineStr">
        <is>
          <t>存货抵押/担保</t>
        </is>
      </c>
      <c r="B11" s="9" t="inlineStr">
        <is>
          <t>2025H1</t>
        </is>
      </c>
      <c r="C11" s="7" t="n">
        <v>627.4710974797</v>
      </c>
      <c r="D11" s="9" t="inlineStr">
        <is>
          <t>亿元</t>
        </is>
      </c>
      <c r="E11" s="9" t="inlineStr">
        <is>
          <t>占存货净额 13.57%</t>
        </is>
      </c>
    </row>
    <row r="12">
      <c r="A12" s="5" t="inlineStr">
        <is>
          <t>投资性房地产净额</t>
        </is>
      </c>
      <c r="B12" s="9" t="inlineStr">
        <is>
          <t>2025H1</t>
        </is>
      </c>
      <c r="C12" s="7" t="n">
        <v>1373.625423372</v>
      </c>
      <c r="D12" s="9" t="inlineStr">
        <is>
          <t>亿元</t>
        </is>
      </c>
      <c r="E12" s="9" t="inlineStr">
        <is>
          <t>抵押占比 58.27%</t>
        </is>
      </c>
    </row>
    <row r="13">
      <c r="A13" s="5" t="inlineStr">
        <is>
          <t>未办妥产权证的投资性房地产</t>
        </is>
      </c>
      <c r="B13" s="9" t="inlineStr">
        <is>
          <t>2025H1</t>
        </is>
      </c>
      <c r="C13" s="7" t="n">
        <v>78.7197547494</v>
      </c>
      <c r="D13" s="9" t="inlineStr">
        <is>
          <t>亿元</t>
        </is>
      </c>
      <c r="E13" s="9" t="inlineStr">
        <is>
          <t>产权手续未完结</t>
        </is>
      </c>
    </row>
    <row r="14">
      <c r="A14" s="5" t="inlineStr">
        <is>
          <t>合同负债</t>
        </is>
      </c>
      <c r="B14" s="9" t="inlineStr">
        <is>
          <t>2025H1</t>
        </is>
      </c>
      <c r="C14" s="7" t="n">
        <v>1580.0311617993</v>
      </c>
      <c r="D14" s="9" t="inlineStr">
        <is>
          <t>亿元</t>
        </is>
      </c>
      <c r="E14" s="9" t="inlineStr">
        <is>
          <t>一年以上占 44.58%</t>
        </is>
      </c>
    </row>
    <row r="15">
      <c r="A15" s="5" t="inlineStr">
        <is>
          <t>预付款项（重大一年以上）</t>
        </is>
      </c>
      <c r="B15" s="9" t="inlineStr">
        <is>
          <t>2025H1</t>
        </is>
      </c>
      <c r="C15" s="7" t="n">
        <v>84.47</v>
      </c>
      <c r="D15" s="9" t="inlineStr">
        <is>
          <t>亿元</t>
        </is>
      </c>
      <c r="E15" s="9" t="inlineStr">
        <is>
          <t>旧改项目前期款</t>
        </is>
      </c>
    </row>
    <row r="17">
      <c r="A17" s="3" t="inlineStr">
        <is>
          <t>资产质量结论</t>
        </is>
      </c>
    </row>
    <row r="18">
      <c r="A18" s="5" t="inlineStr">
        <is>
          <t>账面资产很大，但其他应收和存货两大科目都存在明显沉淀和减值压力，投资性房地产又被大比例抵押。可动用资产与账面资产之间的差距，是本期信用分析的核心。</t>
        </is>
      </c>
      <c r="B18" s="15" t="n"/>
      <c r="C18" s="15" t="n"/>
      <c r="D18" s="15" t="n"/>
      <c r="E18" s="15" t="n"/>
      <c r="F18" s="15" t="n"/>
      <c r="G18" s="15" t="n"/>
      <c r="H18" s="16" t="n"/>
    </row>
    <row r="19">
      <c r="A19" s="17" t="n"/>
      <c r="B19" s="18" t="n"/>
      <c r="C19" s="18" t="n"/>
      <c r="D19" s="18" t="n"/>
      <c r="E19" s="18" t="n"/>
      <c r="F19" s="18" t="n"/>
      <c r="G19" s="18" t="n"/>
      <c r="H19" s="19" t="n"/>
    </row>
  </sheetData>
  <mergeCells count="3">
    <mergeCell ref="A18:H19"/>
    <mergeCell ref="A2:H2"/>
    <mergeCell ref="A1:H1"/>
  </mergeCells>
  <pageMargins left="0.25" right="0.25" top="0.3" bottom="0.3" header="0.15" footer="0.1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18"/>
  <sheetViews>
    <sheetView showFormulas="1"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2" customWidth="1" min="5" max="5"/>
  </cols>
  <sheetData>
    <row r="1">
      <c r="A1" s="1" t="inlineStr">
        <is>
          <t>Cash Flow Bridge</t>
        </is>
      </c>
    </row>
    <row r="2">
      <c r="A2" s="2" t="inlineStr">
        <is>
          <t>从附注和利润补充资料里，挑出影响现金流的关键桥梁。</t>
        </is>
      </c>
    </row>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f>RAW_06_cash_flow_bridge!C6</f>
        <v/>
      </c>
      <c r="D6" s="9" t="inlineStr">
        <is>
          <t>亿元</t>
        </is>
      </c>
      <c r="E6" s="9" t="inlineStr">
        <is>
          <t>利润端起点</t>
        </is>
      </c>
    </row>
    <row r="7">
      <c r="A7" s="5" t="inlineStr">
        <is>
          <t>资产减值损失</t>
        </is>
      </c>
      <c r="B7" s="9" t="inlineStr">
        <is>
          <t>2025H1</t>
        </is>
      </c>
      <c r="C7" s="7">
        <f>RAW_06_cash_flow_bridge!C7</f>
        <v/>
      </c>
      <c r="D7" s="9" t="inlineStr">
        <is>
          <t>亿元</t>
        </is>
      </c>
      <c r="E7" s="9" t="inlineStr">
        <is>
          <t>利润补充资料</t>
        </is>
      </c>
    </row>
    <row r="8">
      <c r="A8" s="5" t="inlineStr">
        <is>
          <t>信用减值损失</t>
        </is>
      </c>
      <c r="B8" s="9" t="inlineStr">
        <is>
          <t>2025H1</t>
        </is>
      </c>
      <c r="C8" s="7">
        <f>RAW_06_cash_flow_bridge!C8</f>
        <v/>
      </c>
      <c r="D8" s="9" t="inlineStr">
        <is>
          <t>亿元</t>
        </is>
      </c>
      <c r="E8" s="9" t="inlineStr">
        <is>
          <t>应收风险仍在</t>
        </is>
      </c>
    </row>
    <row r="9">
      <c r="A9" s="5" t="inlineStr">
        <is>
          <t>投资收益(损失)</t>
        </is>
      </c>
      <c r="B9" s="9" t="inlineStr">
        <is>
          <t>2025H1</t>
        </is>
      </c>
      <c r="C9" s="7">
        <f>RAW_06_cash_flow_bridge!C9</f>
        <v/>
      </c>
      <c r="D9" s="9" t="inlineStr">
        <is>
          <t>亿元</t>
        </is>
      </c>
      <c r="E9" s="9" t="inlineStr">
        <is>
          <t>非经常性波动</t>
        </is>
      </c>
    </row>
    <row r="10">
      <c r="A10" s="5" t="inlineStr">
        <is>
          <t>经营活动现金流净额</t>
        </is>
      </c>
      <c r="B10" s="9" t="inlineStr">
        <is>
          <t>2025H1</t>
        </is>
      </c>
      <c r="C10" s="7">
        <f>RAW_06_cash_flow_bridge!C10</f>
        <v/>
      </c>
      <c r="D10" s="9" t="inlineStr">
        <is>
          <t>亿元</t>
        </is>
      </c>
      <c r="E10" s="9" t="inlineStr">
        <is>
          <t>现金流结果</t>
        </is>
      </c>
    </row>
    <row r="11">
      <c r="A11" s="5" t="inlineStr">
        <is>
          <t>经营现金流补充说明</t>
        </is>
      </c>
      <c r="B11" s="9" t="inlineStr">
        <is>
          <t>2025H1</t>
        </is>
      </c>
      <c r="C11" s="7">
        <f>RAW_06_cash_flow_bridge!C11</f>
        <v/>
      </c>
      <c r="D11" s="9" t="inlineStr">
        <is>
          <t>—</t>
        </is>
      </c>
      <c r="E11" s="9" t="inlineStr">
        <is>
          <t>净亏损、减值和营运资产变化共同解释</t>
        </is>
      </c>
    </row>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f>RAW_06_cash_flow_bridge!C15</f>
        <v/>
      </c>
      <c r="D15" s="9" t="inlineStr">
        <is>
          <t>亿元</t>
        </is>
      </c>
      <c r="E15" s="9" t="inlineStr">
        <is>
          <t>滚动融资</t>
        </is>
      </c>
    </row>
    <row r="16">
      <c r="A16" s="5" t="inlineStr">
        <is>
          <t>长期借款(含一年内到期)</t>
        </is>
      </c>
      <c r="B16" s="9" t="inlineStr">
        <is>
          <t>2025H1</t>
        </is>
      </c>
      <c r="C16" s="7">
        <f>RAW_06_cash_flow_bridge!C16</f>
        <v/>
      </c>
      <c r="D16" s="9" t="inlineStr">
        <is>
          <t>亿元</t>
        </is>
      </c>
      <c r="E16" s="9" t="inlineStr">
        <is>
          <t>筹资活动净变动后口径</t>
        </is>
      </c>
    </row>
    <row r="17">
      <c r="A17" s="5" t="inlineStr">
        <is>
          <t>应付债券(含一年内到期)</t>
        </is>
      </c>
      <c r="B17" s="9" t="inlineStr">
        <is>
          <t>2025H1</t>
        </is>
      </c>
      <c r="C17" s="7">
        <f>RAW_06_cash_flow_bridge!C17</f>
        <v/>
      </c>
      <c r="D17" s="9" t="inlineStr">
        <is>
          <t>亿元</t>
        </is>
      </c>
      <c r="E17" s="9" t="inlineStr">
        <is>
          <t>公开债滚动</t>
        </is>
      </c>
    </row>
    <row r="18">
      <c r="A18" s="5" t="inlineStr">
        <is>
          <t>租赁负债(含一年内到期)</t>
        </is>
      </c>
      <c r="B18" s="9" t="inlineStr">
        <is>
          <t>2025H1</t>
        </is>
      </c>
      <c r="C18" s="7">
        <f>RAW_06_cash_flow_bridge!C18</f>
        <v/>
      </c>
      <c r="D18" s="9" t="inlineStr">
        <is>
          <t>亿元</t>
        </is>
      </c>
      <c r="E18" s="9" t="inlineStr">
        <is>
          <t>广义负债</t>
        </is>
      </c>
    </row>
  </sheetData>
  <mergeCells count="2">
    <mergeCell ref="A2:H2"/>
    <mergeCell ref="A1:H1"/>
  </mergeCells>
  <pageMargins left="0.25" right="0.25" top="0.3" bottom="0.3" header="0.15" footer="0.1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H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4" customWidth="1" min="3" max="3"/>
    <col width="52" customWidth="1" min="4" max="4"/>
    <col width="24" customWidth="1" min="5" max="5"/>
  </cols>
  <sheetData>
    <row r="1">
      <c r="A1" s="1" t="inlineStr">
        <is>
          <t>Notes Map</t>
        </is>
      </c>
    </row>
    <row r="2">
      <c r="A2" s="2" t="inlineStr">
        <is>
          <t>选取最重要的附注章节，作为正式成稿的证据底座。</t>
        </is>
      </c>
    </row>
    <row r="4">
      <c r="A4" s="6" t="inlineStr">
        <is>
          <t>章号</t>
        </is>
      </c>
      <c r="B4" s="6" t="inlineStr">
        <is>
          <t>章节</t>
        </is>
      </c>
      <c r="C4" s="6" t="inlineStr">
        <is>
          <t>行范围</t>
        </is>
      </c>
      <c r="D4" s="6" t="inlineStr">
        <is>
          <t>关键摘要</t>
        </is>
      </c>
      <c r="E4" s="6" t="inlineStr">
        <is>
          <t>主题标签</t>
        </is>
      </c>
    </row>
    <row r="5">
      <c r="A5" s="14" t="n">
        <v>1</v>
      </c>
      <c r="B5" s="9" t="inlineStr">
        <is>
          <t>1 货币资金</t>
        </is>
      </c>
      <c r="C5" s="9" t="inlineStr">
        <is>
          <t>2429-2436</t>
        </is>
      </c>
      <c r="D5" s="9" t="inlineStr">
        <is>
          <t># 1、货币资金 人民币元 项目 2025年6月30日 2024年12月31日 原币 折算汇率 折合人民币 原币 折算汇率 折合人民币 库存现金： 人民币 6,445,748.27 1.0000 6,445,748.27 8,191,876</t>
        </is>
      </c>
      <c r="E5" s="9" t="inlineStr">
        <is>
          <t>cash, restricted_assets, risk_management</t>
        </is>
      </c>
    </row>
    <row r="6">
      <c r="A6" s="14" t="n">
        <v>3</v>
      </c>
      <c r="B6" s="9" t="inlineStr">
        <is>
          <t>3 应收账款</t>
        </is>
      </c>
      <c r="C6" s="9" t="inlineStr">
        <is>
          <t>2441-2489</t>
        </is>
      </c>
      <c r="D6" s="9" t="inlineStr">
        <is>
          <t># 3、应收账款 (1)按账龄披露 人民币元 账龄 2025 年 6 月 30 日 2024 年 12 月 31 日 1 年以内 7,486,866,135.33 6,615,983,196.98 1 至 3 年 1,977,310,462</t>
        </is>
      </c>
      <c r="E6" s="9" t="inlineStr">
        <is>
          <t>debt, 应收账款</t>
        </is>
      </c>
    </row>
    <row r="7">
      <c r="A7" s="14" t="n">
        <v>5</v>
      </c>
      <c r="B7" s="9" t="inlineStr">
        <is>
          <t>5 其他应收款</t>
        </is>
      </c>
      <c r="C7" s="9" t="inlineStr">
        <is>
          <t>2497-2559</t>
        </is>
      </c>
      <c r="D7" s="9" t="inlineStr">
        <is>
          <t># 5、其他应收款 # 5.1项目列示 人民币元 项目 2025 年 6 月 30 日 2024 年 12 月 31 日 应收利息 - 523,370.83 应收股利 288,938,655.44 65,137,259.06 其他应收款 2</t>
        </is>
      </c>
      <c r="E7" s="9" t="inlineStr">
        <is>
          <t>debt, liquidity, restricted_assets</t>
        </is>
      </c>
    </row>
    <row r="8">
      <c r="A8" s="14" t="n">
        <v>6</v>
      </c>
      <c r="B8" s="9" t="inlineStr">
        <is>
          <t>6 存货</t>
        </is>
      </c>
      <c r="C8" s="9" t="inlineStr">
        <is>
          <t>2560-2757</t>
        </is>
      </c>
      <c r="D8" s="9" t="inlineStr">
        <is>
          <t># 6、存货 # (1)存货分类 人民币元 项目 2025年6月30日 2024年12月31日 账面余额 存货跌价准备 账面价值 账面余额 存货跌价准备 账面价值 已完工开发产品 119,436,183,839.77 2,301,779,1</t>
        </is>
      </c>
      <c r="E8" s="9" t="inlineStr">
        <is>
          <t>debt, investment_property, restricted_assets</t>
        </is>
      </c>
    </row>
    <row r="9">
      <c r="A9" s="14" t="n">
        <v>7</v>
      </c>
      <c r="B9" s="9" t="inlineStr">
        <is>
          <t>7 合同资产</t>
        </is>
      </c>
      <c r="C9" s="9" t="inlineStr">
        <is>
          <t>2758-2777</t>
        </is>
      </c>
      <c r="D9" s="9" t="inlineStr">
        <is>
          <t># 7、合同资产 # (1)合同资产情况 人民币元 项目 2025年6月30日 2024年12月31日 账面余额 坏账准备 账面价值 账面余额 坏账准备 账面价值 建造合同 12,337,821,477.85 - 12,337,821,47</t>
        </is>
      </c>
      <c r="E9" s="9" t="inlineStr">
        <is>
          <t>risk_management, 合同资产</t>
        </is>
      </c>
    </row>
    <row r="10">
      <c r="A10" s="14" t="n">
        <v>8</v>
      </c>
      <c r="B10" s="9" t="inlineStr">
        <is>
          <t>8 其他流动资产</t>
        </is>
      </c>
      <c r="C10" s="9" t="inlineStr">
        <is>
          <t>2778-2793</t>
        </is>
      </c>
      <c r="D10" s="9" t="inlineStr">
        <is>
          <t># 8、其他流动资产 人民币元 项目 2025 年 6 月 30 日 2024 年 12 月 31 日 合同取得成本 3,602,985,345.65 4,126,870,606.04 待抵扣增值税 9,098,771,840.65 9,2</t>
        </is>
      </c>
      <c r="E10" s="9" t="inlineStr">
        <is>
          <t>profitability, liquidity, 其他流动资产</t>
        </is>
      </c>
    </row>
    <row r="11">
      <c r="A11" s="14" t="n">
        <v>12</v>
      </c>
      <c r="B11" s="9" t="inlineStr">
        <is>
          <t>12 投资性房地产</t>
        </is>
      </c>
      <c r="C11" s="9" t="inlineStr">
        <is>
          <t>2830-2842</t>
        </is>
      </c>
      <c r="D11" s="9" t="inlineStr">
        <is>
          <t># 12、投资性房地产 # (1)采用成本计量模式的投资性房地产 人民币元 项目 已完工 在建 合计 一、账面原值 1.2025年1月1日 143,974,575,048.36 11,234,769,985.31 155,209,345,0</t>
        </is>
      </c>
      <c r="E11" s="9" t="inlineStr">
        <is>
          <t>debt, restricted_assets, external_guarantees</t>
        </is>
      </c>
    </row>
    <row r="12">
      <c r="A12" s="14" t="n">
        <v>25</v>
      </c>
      <c r="B12" s="9" t="inlineStr">
        <is>
          <t>24 应付账款</t>
        </is>
      </c>
      <c r="C12" s="9" t="inlineStr">
        <is>
          <t>2981-2988</t>
        </is>
      </c>
      <c r="D12" s="9" t="inlineStr">
        <is>
          <t xml:space="preserve"># 24、应付账款 人民币元 项目 2025 年 6 月 30 日 2024 年 12 月 31 日 应付地价 16,009,433,338.20 16,840,960,350.23 应付及预提工程款 106,600,741,232.58 </t>
        </is>
      </c>
      <c r="E12" s="9" t="inlineStr">
        <is>
          <t>restricted_assets, 应付账款</t>
        </is>
      </c>
    </row>
    <row r="13">
      <c r="A13" s="14" t="n">
        <v>29</v>
      </c>
      <c r="B13" s="9" t="inlineStr">
        <is>
          <t>28 其他应付款</t>
        </is>
      </c>
      <c r="C13" s="9" t="inlineStr">
        <is>
          <t>3037-3068</t>
        </is>
      </c>
      <c r="D13" s="9" t="inlineStr">
        <is>
          <t># 28、其他应付款 # 28.1 项目列示 人民币元 项目 2025 年 6 月 30 日 2024 年 12 月 31 日 应付利息 48,634,934.82 114,078,222.03 应付股利 267,927,565.70 27</t>
        </is>
      </c>
      <c r="E13" s="9" t="inlineStr">
        <is>
          <t>debt, profitability, restricted_assets</t>
        </is>
      </c>
    </row>
    <row r="14">
      <c r="A14" s="14" t="n">
        <v>31</v>
      </c>
      <c r="B14" s="9" t="inlineStr">
        <is>
          <t>30 其他流动负债</t>
        </is>
      </c>
      <c r="C14" s="9" t="inlineStr">
        <is>
          <t>3081-3088</t>
        </is>
      </c>
      <c r="D14" s="9" t="inlineStr">
        <is>
          <t># 30、其他流动负债 人民币元 项目 2025 年 6 月 30 日 2024 年 12 月 31 日 待转销项税(注) 14,641,509,761.17 17,750,017,552.59 合计 14,641,509,761.17 1</t>
        </is>
      </c>
      <c r="E14" s="9" t="inlineStr">
        <is>
          <t>liquidity, 其他流动负债</t>
        </is>
      </c>
    </row>
    <row r="15">
      <c r="A15" s="14" t="n">
        <v>32</v>
      </c>
      <c r="B15" s="9" t="inlineStr">
        <is>
          <t>31 长期借款</t>
        </is>
      </c>
      <c r="C15" s="9" t="inlineStr">
        <is>
          <t>3089-3121</t>
        </is>
      </c>
      <c r="D15" s="9" t="inlineStr">
        <is>
          <t># 31、长期借款 # (1)长期借款分类 人民币元 项目 2025年6月30日 原币 汇率 折人民币 借款条件 银行借款 人民币 62,505,632,279.44 1.0000 62,505,632,279.44 信用(注1) 88,0</t>
        </is>
      </c>
      <c r="E15" s="9" t="inlineStr">
        <is>
          <t>debt, profitability, liquidity</t>
        </is>
      </c>
    </row>
    <row r="16">
      <c r="A16" s="14" t="n">
        <v>33</v>
      </c>
      <c r="B16" s="9" t="inlineStr">
        <is>
          <t>32 应付债券</t>
        </is>
      </c>
      <c r="C16" s="9" t="inlineStr">
        <is>
          <t>3122-3143</t>
        </is>
      </c>
      <c r="D16" s="9" t="inlineStr">
        <is>
          <t># 32、应付债券 (1)应付债券的具体情况(不包括划分为金融负债的优先股、永续债等其他金融工具) 人民币元 债券名称 币种 面值(亿元) 发行日期 债券期限 债券利率 发行金额 2025年1月1日 2025年1月1日 本期发行 按面值计提</t>
        </is>
      </c>
      <c r="E16" s="9" t="inlineStr">
        <is>
          <t>debt, liquidity, risk_management</t>
        </is>
      </c>
    </row>
    <row r="17">
      <c r="A17" s="14" t="n">
        <v>55</v>
      </c>
      <c r="B17" s="9" t="inlineStr">
        <is>
          <t>54 基本每股收益和稀释每股收益的计算过程</t>
        </is>
      </c>
      <c r="C17" s="9" t="inlineStr">
        <is>
          <t>3329-3344</t>
        </is>
      </c>
      <c r="D17" s="9" t="inlineStr">
        <is>
          <t># 54、基本每股收益和稀释每股收益的计算过程 人民币元 项目 2025年1月1日至6月30日止期间 2024年1月1日至6月30日止期间 归属于本公司普通股股东的合并净亏损 (11,946,573,688.12) (9,852,499,5</t>
        </is>
      </c>
      <c r="E17" s="9" t="inlineStr">
        <is>
          <t>profitability, governance</t>
        </is>
      </c>
    </row>
    <row r="18">
      <c r="A18" s="14" t="n">
        <v>56</v>
      </c>
      <c r="B18" s="9" t="inlineStr">
        <is>
          <t>55 利润表补充资料</t>
        </is>
      </c>
      <c r="C18" s="9" t="inlineStr">
        <is>
          <t>3345-3350</t>
        </is>
      </c>
      <c r="D18" s="9" t="inlineStr">
        <is>
          <t xml:space="preserve"># 55、利润表补充资料 人民币元 项目 2025 年 1 月 1 日至 6 月 30 日止期间 2024 年 1 月 1 日至 6 月 30 日止期间 营业收入 105,323,304,409.14 142,778,764,079.80 </t>
        </is>
      </c>
      <c r="E18" s="9" t="inlineStr">
        <is>
          <t>profitability, governance, 利润表补充资料</t>
        </is>
      </c>
    </row>
    <row r="19">
      <c r="A19" s="14" t="n">
        <v>57</v>
      </c>
      <c r="B19" s="9" t="inlineStr">
        <is>
          <t>56 现金流量表项目</t>
        </is>
      </c>
      <c r="C19" s="9" t="inlineStr">
        <is>
          <t>3351-3396</t>
        </is>
      </c>
      <c r="D19" s="9" t="inlineStr">
        <is>
          <t># 56、现金流量表项目 # (1)与经营活动有关的现金 收到其他与经营活动有关的现金 人民币元 项目 2025 年 1 月 1 日至 6 月 30 日止期间 2024 年 1 月 1 日至 6 月 30 日止期间 按政策允许收取的购房诚意</t>
        </is>
      </c>
      <c r="E19" s="9" t="inlineStr">
        <is>
          <t>debt, cash, profitability</t>
        </is>
      </c>
    </row>
    <row r="20">
      <c r="A20" s="14" t="n">
        <v>79</v>
      </c>
      <c r="B20" s="9" t="inlineStr">
        <is>
          <t>6 应收、应付关联方等未结算项目情况</t>
        </is>
      </c>
      <c r="C20" s="9" t="inlineStr">
        <is>
          <t>3777-3930</t>
        </is>
      </c>
      <c r="D20" s="9" t="inlineStr">
        <is>
          <t># 6、应收、应付关联方等未结算项目情况 # (1)应收项目 人民币元 单位名称 与本集团的关系 2025年6月30日 2024年12月31日 云南澄江老鹰地旅游度假村有限公司 联营企业 4,305,204,267.85 4,283,790</t>
        </is>
      </c>
      <c r="E20" s="9" t="inlineStr">
        <is>
          <t>debt, cash, profitability</t>
        </is>
      </c>
    </row>
    <row r="21">
      <c r="A21" s="14" t="n">
        <v>84</v>
      </c>
      <c r="B21" s="9" t="inlineStr">
        <is>
          <t>1 其他应收款</t>
        </is>
      </c>
      <c r="C21" s="9" t="inlineStr">
        <is>
          <t>4001-4058</t>
        </is>
      </c>
      <c r="D21" s="9" t="inlineStr">
        <is>
          <t># 1、其他应收款 # 1.1项目列示 人民币元 项目 2025 年 6 月 30 日 2024 年 12 月 31 日 其他应收款 434,633,911,659.23 423,075,784,302.16 # 1.2其他应收款 # (1</t>
        </is>
      </c>
      <c r="E21" s="9" t="inlineStr">
        <is>
          <t>debt, liquidity, risk_management</t>
        </is>
      </c>
    </row>
    <row r="22">
      <c r="A22" s="14" t="n">
        <v>86</v>
      </c>
      <c r="B22" s="9" t="inlineStr">
        <is>
          <t>3 短期借款</t>
        </is>
      </c>
      <c r="C22" s="9" t="inlineStr">
        <is>
          <t>4079-4088</t>
        </is>
      </c>
      <c r="D22" s="9" t="inlineStr">
        <is>
          <t># 3、短期借款 # (1)短期借款分类 人民币元 项目 2025年6月30日 2024年12月31日 原币 折人民币 原币 折人民币 银行借款 信用借款 -人民币 3,788,600,645.16 3,788,600,645.16 3,9</t>
        </is>
      </c>
      <c r="E22" s="9" t="inlineStr">
        <is>
          <t>debt, liquidity, restricted_assets</t>
        </is>
      </c>
    </row>
    <row r="23">
      <c r="A23" s="14" t="n">
        <v>88</v>
      </c>
      <c r="B23" s="9" t="inlineStr">
        <is>
          <t>5 长期借款</t>
        </is>
      </c>
      <c r="C23" s="9" t="inlineStr">
        <is>
          <t>4109-4120</t>
        </is>
      </c>
      <c r="D23" s="9" t="inlineStr">
        <is>
          <t># 5、长期借款 人民币元 项目 2025年6月30日 原币 汇率 折人民币 借款条件 银行借款 人民币 55,368,411,012.84 1.0000 55,368,411,012.84 信用 45,537,791,155.49 1.0</t>
        </is>
      </c>
      <c r="E23" s="9" t="inlineStr">
        <is>
          <t>debt, liquidity, restricted_assets</t>
        </is>
      </c>
    </row>
    <row r="24">
      <c r="A24" s="14" t="n">
        <v>90</v>
      </c>
      <c r="B24" s="9" t="inlineStr">
        <is>
          <t>7 投资收益</t>
        </is>
      </c>
      <c r="C24" s="9" t="inlineStr">
        <is>
          <t>4125-4132</t>
        </is>
      </c>
      <c r="D24" s="9" t="inlineStr">
        <is>
          <t># 7、投资收益 人民币元 项目 2025 年 1 月 1 日至 6 月 30 日止期间 2024 年 1 月 1 日至 6 月 30 日止期间 成本法核算的长期股权投资收益 12,476,532,710.35 8,234,007,040.</t>
        </is>
      </c>
      <c r="E24" s="9" t="inlineStr">
        <is>
          <t>debt, profitability, liquidity</t>
        </is>
      </c>
    </row>
    <row r="25">
      <c r="A25" s="14" t="n">
        <v>92</v>
      </c>
      <c r="B25" s="9" t="inlineStr">
        <is>
          <t>2 净资产收益率及每股收益</t>
        </is>
      </c>
      <c r="C25" s="9" t="inlineStr">
        <is>
          <t>4139-4146</t>
        </is>
      </c>
      <c r="D25" s="9" t="inlineStr">
        <is>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is>
      </c>
      <c r="E25" s="9" t="inlineStr">
        <is>
          <t>profitability, governance, 净资产收益率及每股收益</t>
        </is>
      </c>
    </row>
    <row r="26">
      <c r="A26" s="14" t="n">
        <v>93</v>
      </c>
      <c r="B26" s="9" t="inlineStr">
        <is>
          <t>3 境内外会计准则下会计数据差异</t>
        </is>
      </c>
      <c r="C26" s="9" t="inlineStr">
        <is>
          <t>4147-4155</t>
        </is>
      </c>
      <c r="D26" s="9" t="inlineStr">
        <is>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is>
      </c>
      <c r="E26" s="9" t="inlineStr">
        <is>
          <t>governance, 境内外会计准则下会计数据差异</t>
        </is>
      </c>
    </row>
  </sheetData>
  <mergeCells count="2">
    <mergeCell ref="A2:H2"/>
    <mergeCell ref="A1:H1"/>
  </mergeCells>
  <pageMargins left="0.25" right="0.25" top="0.3" bottom="0.3" header="0.15" footer="0.1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0" customWidth="1" min="4" max="4"/>
    <col width="34" customWidth="1" min="5" max="5"/>
  </cols>
  <sheetData>
    <row r="1">
      <c r="A1" s="1" t="inlineStr">
        <is>
          <t>Management Support</t>
        </is>
      </c>
    </row>
    <row r="2">
      <c r="A2" s="2" t="inlineStr">
        <is>
          <t>管理层披露的股东支持、债务到期和再融资窗口。</t>
        </is>
      </c>
    </row>
    <row r="4">
      <c r="A4" s="3" t="inlineStr">
        <is>
          <t>支持与窗口</t>
        </is>
      </c>
    </row>
    <row r="5">
      <c r="A5" s="6" t="inlineStr">
        <is>
          <t>事项</t>
        </is>
      </c>
      <c r="B5" s="6" t="inlineStr">
        <is>
          <t>来源</t>
        </is>
      </c>
      <c r="C5" s="6" t="inlineStr">
        <is>
          <t>数值</t>
        </is>
      </c>
      <c r="D5" s="6" t="inlineStr">
        <is>
          <t>单位</t>
        </is>
      </c>
      <c r="E5" s="6" t="inlineStr">
        <is>
          <t>说明</t>
        </is>
      </c>
    </row>
    <row r="6">
      <c r="A6" s="5" t="inlineStr">
        <is>
          <t>深铁股东借款累计</t>
        </is>
      </c>
      <c r="B6" s="9" t="inlineStr">
        <is>
          <t>报告正文</t>
        </is>
      </c>
      <c r="C6" s="7" t="n">
        <v>238.8</v>
      </c>
      <c r="D6" s="9" t="inlineStr">
        <is>
          <t>亿元</t>
        </is>
      </c>
      <c r="E6" s="9" t="inlineStr">
        <is>
          <t>流动性支撑</t>
        </is>
      </c>
    </row>
    <row r="7">
      <c r="A7" s="5" t="inlineStr">
        <is>
          <t>公开债务偿还</t>
        </is>
      </c>
      <c r="B7" s="9" t="inlineStr">
        <is>
          <t>报告正文</t>
        </is>
      </c>
      <c r="C7" s="7" t="n">
        <v>243.9</v>
      </c>
      <c r="D7" s="9" t="inlineStr">
        <is>
          <t>亿元</t>
        </is>
      </c>
      <c r="E7" s="9" t="inlineStr">
        <is>
          <t>已完成</t>
        </is>
      </c>
    </row>
    <row r="8">
      <c r="A8" s="5" t="inlineStr">
        <is>
          <t>境外公开债到期</t>
        </is>
      </c>
      <c r="B8" s="9" t="inlineStr">
        <is>
          <t>报告正文</t>
        </is>
      </c>
      <c r="C8" s="7" t="n">
        <v>0</v>
      </c>
      <c r="D8" s="9" t="inlineStr">
        <is>
          <t>年内</t>
        </is>
      </c>
      <c r="E8" s="9" t="inlineStr">
        <is>
          <t>2027 年前无到期</t>
        </is>
      </c>
    </row>
    <row r="9">
      <c r="A9" s="5" t="inlineStr">
        <is>
          <t>管理层对流动性判断</t>
        </is>
      </c>
      <c r="B9" s="9" t="inlineStr">
        <is>
          <t>报告正文</t>
        </is>
      </c>
      <c r="C9" s="7" t="n">
        <v>0</v>
      </c>
      <c r="D9" s="9" t="inlineStr">
        <is>
          <t>—</t>
        </is>
      </c>
      <c r="E9" s="9" t="inlineStr">
        <is>
          <t>以支持+再融资缓冲短期风险</t>
        </is>
      </c>
    </row>
    <row r="11">
      <c r="A11" s="3" t="inlineStr">
        <is>
          <t>原文摘要</t>
        </is>
      </c>
    </row>
    <row r="12">
      <c r="A12" s="5" t="inlineStr">
        <is>
          <t>管理层披露：深铁集团在上半年继续提供流动性支持，累计股东借款 238.8 亿元；公司已完成 243.9 亿元公开债务偿还；2027 年之前无境外公开债到期。</t>
        </is>
      </c>
      <c r="B12" s="15" t="n"/>
      <c r="C12" s="15" t="n"/>
      <c r="D12" s="15" t="n"/>
      <c r="E12" s="15" t="n"/>
      <c r="F12" s="15" t="n"/>
      <c r="G12" s="15" t="n"/>
      <c r="H12" s="16" t="n"/>
    </row>
    <row r="13">
      <c r="A13" s="17" t="n"/>
      <c r="B13" s="18" t="n"/>
      <c r="C13" s="18" t="n"/>
      <c r="D13" s="18" t="n"/>
      <c r="E13" s="18" t="n"/>
      <c r="F13" s="18" t="n"/>
      <c r="G13" s="18" t="n"/>
      <c r="H13" s="19" t="n"/>
    </row>
  </sheetData>
  <mergeCells count="3">
    <mergeCell ref="A12:H13"/>
    <mergeCell ref="A2:H2"/>
    <mergeCell ref="A1:H1"/>
  </mergeCells>
  <pageMargins left="0.25" right="0.25" top="0.3" bottom="0.3" header="0.15" footer="0.1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A1:H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Capital Structure</t>
        </is>
      </c>
    </row>
    <row r="2">
      <c r="A2" s="2" t="inlineStr">
        <is>
          <t>管理层资本结构口径，结合总债务和净债务观察杠杆。</t>
        </is>
      </c>
    </row>
    <row r="4">
      <c r="A4" s="3" t="inlineStr">
        <is>
          <t>资本结构</t>
        </is>
      </c>
    </row>
    <row r="5">
      <c r="A5" s="6" t="inlineStr">
        <is>
          <t>项目</t>
        </is>
      </c>
      <c r="B5" s="6" t="inlineStr">
        <is>
          <t>期间</t>
        </is>
      </c>
      <c r="C5" s="6" t="inlineStr">
        <is>
          <t>数值</t>
        </is>
      </c>
      <c r="D5" s="6" t="inlineStr">
        <is>
          <t>单位</t>
        </is>
      </c>
      <c r="E5" s="6" t="inlineStr">
        <is>
          <t>备注</t>
        </is>
      </c>
    </row>
    <row r="6">
      <c r="A6" s="5" t="inlineStr">
        <is>
          <t>总债务合计</t>
        </is>
      </c>
      <c r="B6" s="9" t="inlineStr">
        <is>
          <t>2025H1</t>
        </is>
      </c>
      <c r="C6" s="7" t="n">
        <v>3642.5768006561</v>
      </c>
      <c r="D6" s="9" t="inlineStr">
        <is>
          <t>亿元</t>
        </is>
      </c>
      <c r="E6" s="9" t="inlineStr">
        <is>
          <t>管理层口径</t>
        </is>
      </c>
    </row>
    <row r="7">
      <c r="A7" s="5" t="inlineStr">
        <is>
          <t>货币资金</t>
        </is>
      </c>
      <c r="B7" s="9" t="inlineStr">
        <is>
          <t>2025H1</t>
        </is>
      </c>
      <c r="C7" s="7" t="n">
        <v>740.0226377873</v>
      </c>
      <c r="D7" s="9" t="inlineStr">
        <is>
          <t>亿元</t>
        </is>
      </c>
      <c r="E7" s="9" t="inlineStr">
        <is>
          <t>扣减项</t>
        </is>
      </c>
    </row>
    <row r="8">
      <c r="A8" s="5" t="inlineStr">
        <is>
          <t>经调整净债务</t>
        </is>
      </c>
      <c r="B8" s="9" t="inlineStr">
        <is>
          <t>2025H1</t>
        </is>
      </c>
      <c r="C8" s="7" t="n">
        <v>2902.5541628688</v>
      </c>
      <c r="D8" s="9" t="inlineStr">
        <is>
          <t>亿元</t>
        </is>
      </c>
      <c r="E8" s="9" t="inlineStr">
        <is>
          <t>总债务减现金</t>
        </is>
      </c>
    </row>
    <row r="9">
      <c r="A9" s="5" t="inlineStr">
        <is>
          <t>股东权益</t>
        </is>
      </c>
      <c r="B9" s="9" t="inlineStr">
        <is>
          <t>2025H1</t>
        </is>
      </c>
      <c r="C9" s="7" t="n">
        <v>3211.6054296106</v>
      </c>
      <c r="D9" s="9" t="inlineStr">
        <is>
          <t>亿元</t>
        </is>
      </c>
      <c r="E9" s="9" t="inlineStr">
        <is>
          <t>分母</t>
        </is>
      </c>
    </row>
    <row r="10">
      <c r="A10" s="5" t="inlineStr">
        <is>
          <t>净债务/股东权益</t>
        </is>
      </c>
      <c r="B10" s="9" t="inlineStr">
        <is>
          <t>2025H1</t>
        </is>
      </c>
      <c r="C10" s="7" t="n">
        <v>0.9037704744510686</v>
      </c>
      <c r="D10" s="9" t="inlineStr">
        <is>
          <t>x</t>
        </is>
      </c>
      <c r="E10" s="9" t="inlineStr">
        <is>
          <t>接近 0.90x</t>
        </is>
      </c>
    </row>
    <row r="11">
      <c r="A11" s="5" t="inlineStr">
        <is>
          <t>总债务/股东权益</t>
        </is>
      </c>
      <c r="B11" s="9" t="inlineStr">
        <is>
          <t>2025H1</t>
        </is>
      </c>
      <c r="C11" s="7" t="n">
        <v>1.134191880195493</v>
      </c>
      <c r="D11" s="9" t="inlineStr">
        <is>
          <t>x</t>
        </is>
      </c>
      <c r="E11" s="9" t="inlineStr">
        <is>
          <t>接近 1.13x</t>
        </is>
      </c>
    </row>
  </sheetData>
  <mergeCells count="2">
    <mergeCell ref="A2:H2"/>
    <mergeCell ref="A1:H1"/>
  </mergeCells>
  <pageMargins left="0.25" right="0.25" top="0.3" bottom="0.3" header="0.15" footer="0.1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A1:H2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52" customWidth="1" min="3" max="3"/>
    <col width="14" customWidth="1" min="4" max="4"/>
    <col width="18" customWidth="1" min="5" max="5"/>
  </cols>
  <sheetData>
    <row r="1">
      <c r="A1" s="1" t="inlineStr">
        <is>
          <t>Evidence Index</t>
        </is>
      </c>
    </row>
    <row r="2">
      <c r="A2" s="2" t="inlineStr">
        <is>
          <t>证据索引用于回溯各表格中的关键数字。</t>
        </is>
      </c>
    </row>
    <row r="4">
      <c r="A4" s="6" t="inlineStr">
        <is>
          <t>证据ID</t>
        </is>
      </c>
      <c r="B4" s="6" t="inlineStr">
        <is>
          <t>章节</t>
        </is>
      </c>
      <c r="C4" s="6" t="inlineStr">
        <is>
          <t>证据摘要</t>
        </is>
      </c>
      <c r="D4" s="6" t="inlineStr">
        <is>
          <t>来源区间</t>
        </is>
      </c>
      <c r="E4" s="6" t="inlineStr">
        <is>
          <t>用途</t>
        </is>
      </c>
    </row>
    <row r="5">
      <c r="A5" s="5" t="inlineStr">
        <is>
          <t>EVD-0001</t>
        </is>
      </c>
      <c r="B5" s="9" t="inlineStr">
        <is>
          <t>1 1 货币资金</t>
        </is>
      </c>
      <c r="C5" s="9" t="inlineStr">
        <is>
          <t>货币资金、受限资金、境外存款</t>
        </is>
      </c>
      <c r="D5" s="9" t="inlineStr">
        <is>
          <t>2429-2436</t>
        </is>
      </c>
      <c r="E5" s="9" t="inlineStr">
        <is>
          <t>现金与受限资金</t>
        </is>
      </c>
    </row>
    <row r="6">
      <c r="A6" s="5" t="inlineStr">
        <is>
          <t>EVD-0002</t>
        </is>
      </c>
      <c r="B6" s="9" t="inlineStr">
        <is>
          <t>3 3 应收账款</t>
        </is>
      </c>
      <c r="C6" s="9" t="inlineStr">
        <is>
          <t>应收账款坏账率与账龄</t>
        </is>
      </c>
      <c r="D6" s="9" t="inlineStr">
        <is>
          <t>2441-2489</t>
        </is>
      </c>
      <c r="E6" s="9" t="inlineStr">
        <is>
          <t>回款风险</t>
        </is>
      </c>
    </row>
    <row r="7">
      <c r="A7" s="5" t="inlineStr">
        <is>
          <t>EVD-0003</t>
        </is>
      </c>
      <c r="B7" s="9" t="inlineStr">
        <is>
          <t>5 5 其他应收款</t>
        </is>
      </c>
      <c r="C7" s="9" t="inlineStr">
        <is>
          <t>其他应收款单项计提 97.47%</t>
        </is>
      </c>
      <c r="D7" s="9" t="inlineStr">
        <is>
          <t>2497-2559</t>
        </is>
      </c>
      <c r="E7" s="9" t="inlineStr">
        <is>
          <t>沉淀资金</t>
        </is>
      </c>
    </row>
    <row r="8">
      <c r="A8" s="5" t="inlineStr">
        <is>
          <t>EVD-0004</t>
        </is>
      </c>
      <c r="B8" s="9" t="inlineStr">
        <is>
          <t>6 6 存货</t>
        </is>
      </c>
      <c r="C8" s="9" t="inlineStr">
        <is>
          <t>存货减值 152.41 亿元、抵押 62.75 亿元</t>
        </is>
      </c>
      <c r="D8" s="9" t="inlineStr">
        <is>
          <t>2560-2757</t>
        </is>
      </c>
      <c r="E8" s="9" t="inlineStr">
        <is>
          <t>库存与抵押</t>
        </is>
      </c>
    </row>
    <row r="9">
      <c r="A9" s="5" t="inlineStr">
        <is>
          <t>EVD-0005</t>
        </is>
      </c>
      <c r="B9" s="9" t="inlineStr">
        <is>
          <t>7 7 合同资产</t>
        </is>
      </c>
      <c r="C9" s="9" t="inlineStr">
        <is>
          <t>合同资产 123.38 亿元</t>
        </is>
      </c>
      <c r="D9" s="9" t="inlineStr">
        <is>
          <t>2758-2777</t>
        </is>
      </c>
      <c r="E9" s="9" t="inlineStr">
        <is>
          <t>合同结算</t>
        </is>
      </c>
    </row>
    <row r="10">
      <c r="A10" s="5" t="inlineStr">
        <is>
          <t>EVD-0006</t>
        </is>
      </c>
      <c r="B10" s="9" t="inlineStr">
        <is>
          <t>8 8 其他流动资产</t>
        </is>
      </c>
      <c r="C10" s="9" t="inlineStr">
        <is>
          <t>合同取得成本与待抵扣增值税</t>
        </is>
      </c>
      <c r="D10" s="9" t="inlineStr">
        <is>
          <t>2778-2793</t>
        </is>
      </c>
      <c r="E10" s="9" t="inlineStr">
        <is>
          <t>流动资产</t>
        </is>
      </c>
    </row>
    <row r="11">
      <c r="A11" s="5" t="inlineStr">
        <is>
          <t>EVD-0007</t>
        </is>
      </c>
      <c r="B11" s="9" t="inlineStr">
        <is>
          <t>12 12 投资性房地产</t>
        </is>
      </c>
      <c r="C11" s="9" t="inlineStr">
        <is>
          <t>投资性房地产 1,373.63 亿元，抵押 800.46 亿元</t>
        </is>
      </c>
      <c r="D11" s="9" t="inlineStr">
        <is>
          <t>2830-2842</t>
        </is>
      </c>
      <c r="E11" s="9" t="inlineStr">
        <is>
          <t>商业资产</t>
        </is>
      </c>
    </row>
    <row r="12">
      <c r="A12" s="5" t="inlineStr">
        <is>
          <t>EVD-0008</t>
        </is>
      </c>
      <c r="B12" s="9" t="inlineStr">
        <is>
          <t>25 24 应付账款</t>
        </is>
      </c>
      <c r="C12" s="9" t="inlineStr">
        <is>
          <t>合同负债 1,580.03 亿元，一年以上 704.42 亿元</t>
        </is>
      </c>
      <c r="D12" s="9" t="inlineStr">
        <is>
          <t>2989-3006</t>
        </is>
      </c>
      <c r="E12" s="9" t="inlineStr">
        <is>
          <t>预收房款</t>
        </is>
      </c>
    </row>
    <row r="13">
      <c r="A13" s="5" t="inlineStr">
        <is>
          <t>EVD-0009</t>
        </is>
      </c>
      <c r="B13" s="9" t="inlineStr">
        <is>
          <t>29 28 其他应付款</t>
        </is>
      </c>
      <c r="C13" s="9" t="inlineStr">
        <is>
          <t>一年内到期的非流动负债 1,347.13 亿元</t>
        </is>
      </c>
      <c r="D13" s="9" t="inlineStr">
        <is>
          <t>3069-3080</t>
        </is>
      </c>
      <c r="E13" s="9" t="inlineStr">
        <is>
          <t>近端债务</t>
        </is>
      </c>
    </row>
    <row r="14">
      <c r="A14" s="5" t="inlineStr">
        <is>
          <t>EVD-0010</t>
        </is>
      </c>
      <c r="B14" s="9" t="inlineStr">
        <is>
          <t>31 30 其他流动负债</t>
        </is>
      </c>
      <c r="C14" s="9" t="inlineStr">
        <is>
          <t>长期借款 1,780.51 亿元，契约借款 1,039.44 亿元</t>
        </is>
      </c>
      <c r="D14" s="9" t="inlineStr">
        <is>
          <t>3089-3121</t>
        </is>
      </c>
      <c r="E14" s="9" t="inlineStr">
        <is>
          <t>银行借款</t>
        </is>
      </c>
    </row>
    <row r="15">
      <c r="A15" s="5" t="inlineStr">
        <is>
          <t>EVD-0011</t>
        </is>
      </c>
      <c r="B15" s="9" t="inlineStr">
        <is>
          <t>32 31 长期借款</t>
        </is>
      </c>
      <c r="C15" s="9" t="inlineStr">
        <is>
          <t>应付债券净额 436.02 亿元，一年内到期 273.59 亿元</t>
        </is>
      </c>
      <c r="D15" s="9" t="inlineStr">
        <is>
          <t>3122-3143</t>
        </is>
      </c>
      <c r="E15" s="9" t="inlineStr">
        <is>
          <t>债券兑付</t>
        </is>
      </c>
    </row>
    <row r="16">
      <c r="A16" s="5" t="inlineStr">
        <is>
          <t>EVD-0012</t>
        </is>
      </c>
      <c r="B16" s="9" t="inlineStr">
        <is>
          <t>33 32 应付债券</t>
        </is>
      </c>
      <c r="C16" s="9" t="inlineStr">
        <is>
          <t>租赁负债净额 157.54 亿元</t>
        </is>
      </c>
      <c r="D16" s="9" t="inlineStr">
        <is>
          <t>3144-3149</t>
        </is>
      </c>
      <c r="E16" s="9" t="inlineStr">
        <is>
          <t>广义杠杆</t>
        </is>
      </c>
    </row>
    <row r="17">
      <c r="A17" s="5" t="inlineStr">
        <is>
          <t>EVD-0013</t>
        </is>
      </c>
      <c r="B17" s="9" t="inlineStr">
        <is>
          <t>55 54 基本每股收益和稀释每股收益的计算过程</t>
        </is>
      </c>
      <c r="C17" s="9" t="inlineStr">
        <is>
          <t>归母净亏损 119.47 亿元，基本 EPS -1.01 元</t>
        </is>
      </c>
      <c r="D17" s="9" t="inlineStr">
        <is>
          <t>3345-3350</t>
        </is>
      </c>
      <c r="E17" s="9" t="inlineStr">
        <is>
          <t>利润质量</t>
        </is>
      </c>
    </row>
    <row r="18">
      <c r="A18" s="5" t="inlineStr">
        <is>
          <t>EVD-0014</t>
        </is>
      </c>
      <c r="B18" s="9" t="inlineStr">
        <is>
          <t>57 56 现金流量表项目</t>
        </is>
      </c>
      <c r="C18" s="9" t="inlineStr">
        <is>
          <t>经营活动现金流净额 -30.39 亿元</t>
        </is>
      </c>
      <c r="D18" s="9" t="inlineStr">
        <is>
          <t>3397-3436</t>
        </is>
      </c>
      <c r="E18" s="9" t="inlineStr">
        <is>
          <t>现金流</t>
        </is>
      </c>
    </row>
    <row r="19">
      <c r="A19" s="5" t="inlineStr">
        <is>
          <t>EVD-0015</t>
        </is>
      </c>
      <c r="B19" s="9" t="inlineStr">
        <is>
          <t>79 6 应收、应付关联方等未结算项目情况</t>
        </is>
      </c>
      <c r="C19" s="9" t="inlineStr">
        <is>
          <t>总债务 3642.58 亿元、净债务 2902.55 亿元</t>
        </is>
      </c>
      <c r="D19" s="9" t="inlineStr">
        <is>
          <t>资本结构</t>
        </is>
      </c>
      <c r="E19" s="9" t="inlineStr">
        <is>
          <t>杠杆</t>
        </is>
      </c>
    </row>
    <row r="20">
      <c r="A20" s="5" t="inlineStr">
        <is>
          <t>EVD-0016</t>
        </is>
      </c>
      <c r="B20" s="9" t="inlineStr">
        <is>
          <t>92 2 净资产收益率及每股收益</t>
        </is>
      </c>
      <c r="C20" s="9" t="inlineStr">
        <is>
          <t>ROE -6.07%、EPS -1.01 元</t>
        </is>
      </c>
      <c r="D20" s="9" t="inlineStr">
        <is>
          <t>4139-4146</t>
        </is>
      </c>
      <c r="E20" s="9" t="inlineStr">
        <is>
          <t>股东回报</t>
        </is>
      </c>
    </row>
    <row r="21">
      <c r="A21" s="5" t="inlineStr">
        <is>
          <t>EVD-0017</t>
        </is>
      </c>
      <c r="B21" s="9" t="inlineStr">
        <is>
          <t>93 3 境内外会计准则下会计数据差异</t>
        </is>
      </c>
      <c r="C21" s="9" t="inlineStr">
        <is>
          <t>中外准则差异为零</t>
        </is>
      </c>
      <c r="D21" s="9" t="inlineStr">
        <is>
          <t>4147-4155</t>
        </is>
      </c>
      <c r="E21" s="9" t="inlineStr">
        <is>
          <t>口径一致</t>
        </is>
      </c>
    </row>
    <row r="22">
      <c r="A22" s="5" t="inlineStr">
        <is>
          <t>EVD-0018</t>
        </is>
      </c>
      <c r="B22" s="9" t="inlineStr">
        <is>
          <t>47 46 财务费用</t>
        </is>
      </c>
      <c r="C22" s="9" t="inlineStr">
        <is>
          <t>名义利息 72.57 亿元，资本化利息 32.15 亿元，按期初期末平均有息债务口径，含资本化后半年融资成本约 2.63%，折年约 5.26%</t>
        </is>
      </c>
      <c r="D22" s="9" t="inlineStr">
        <is>
          <t>3267-3272</t>
        </is>
      </c>
      <c r="E22" s="9" t="inlineStr">
        <is>
          <t>融资成本</t>
        </is>
      </c>
    </row>
  </sheetData>
  <mergeCells count="2">
    <mergeCell ref="A2:H2"/>
    <mergeCell ref="A1:H1"/>
  </mergeCells>
  <pageMargins left="0.25" right="0.25" top="0.3" bottom="0.3" header="0.15" footer="0.15"/>
  <pageSetup orientation="landscape" fitToHeight="1" fitToWidth="1"/>
</worksheet>
</file>

<file path=xl/worksheets/sheet12.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sheetData>
    <row r="1">
      <c r="A1" s="1" t="inlineStr">
        <is>
          <t>万科企业股份有限公司 2025年半年度附注优先分析底稿</t>
        </is>
      </c>
    </row>
    <row r="2">
      <c r="A2" s="2" t="inlineStr">
        <is>
          <t>来源：ChinaMoney 发现 + CNInfo 回退下载；MinerU 解析；financial-analyzer 生成底稿后人工正式化。</t>
        </is>
      </c>
    </row>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n">
        <v>1053.2330440914</v>
      </c>
      <c r="C14" s="7" t="n">
        <v>1427.787640798</v>
      </c>
      <c r="D14" s="8" t="n">
        <v>-0.2623321466049804</v>
      </c>
      <c r="E14" s="9" t="inlineStr">
        <is>
          <t>收入下滑</t>
        </is>
      </c>
    </row>
    <row r="15">
      <c r="A15" s="5" t="inlineStr">
        <is>
          <t>归母净利润(亿元)</t>
        </is>
      </c>
      <c r="B15" s="7" t="n">
        <v>-119.4657368812</v>
      </c>
      <c r="C15" s="7" t="n">
        <v>-98.52499598839999</v>
      </c>
      <c r="D15" s="8" t="n">
        <v>-0.2125424181216459</v>
      </c>
      <c r="E15" s="9" t="inlineStr">
        <is>
          <t>亏损扩大</t>
        </is>
      </c>
    </row>
    <row r="16">
      <c r="A16" s="5" t="inlineStr">
        <is>
          <t>经营现金流(亿元)</t>
        </is>
      </c>
      <c r="B16" s="7" t="n">
        <v>-30.3870459278</v>
      </c>
      <c r="C16" s="7" t="n">
        <v>-51.763258111</v>
      </c>
      <c r="D16" s="8" t="n">
        <v>0.4129611033633416</v>
      </c>
      <c r="E16" s="9" t="inlineStr">
        <is>
          <t>仍为负</t>
        </is>
      </c>
    </row>
    <row r="17">
      <c r="A17" s="5" t="inlineStr">
        <is>
          <t>可动用现金(亿元)</t>
        </is>
      </c>
      <c r="B17" s="7" t="n">
        <v>693.4756277666</v>
      </c>
      <c r="C17" s="7" t="n">
        <v>740.0226377873</v>
      </c>
      <c r="D17" s="10" t="n">
        <v>0.514779700323822</v>
      </c>
      <c r="E17" s="9" t="inlineStr">
        <is>
          <t>剔除受限资金</t>
        </is>
      </c>
    </row>
    <row r="18">
      <c r="A18" s="5" t="inlineStr">
        <is>
          <t>近端到期债务(亿元)</t>
        </is>
      </c>
      <c r="B18" s="7" t="n">
        <v>1347.1308742951</v>
      </c>
      <c r="C18" s="7" t="n">
        <v>1460.4556838992</v>
      </c>
      <c r="D18" s="9" t="n"/>
      <c r="E18" s="9" t="inlineStr">
        <is>
          <t>短债+一年内到期借款/债券/租赁/利息</t>
        </is>
      </c>
    </row>
    <row r="19">
      <c r="A19" s="5" t="inlineStr">
        <is>
          <t>存货净额(亿元)</t>
        </is>
      </c>
      <c r="B19" s="7" t="n">
        <v>4625.1854059268</v>
      </c>
      <c r="C19" s="7" t="n">
        <v>5190.0943984678</v>
      </c>
      <c r="D19" s="8" t="n">
        <v>0.03295181655911592</v>
      </c>
      <c r="E19" s="9" t="inlineStr">
        <is>
          <t>计提减值 152.41 亿元</t>
        </is>
      </c>
    </row>
    <row r="20">
      <c r="A20" s="5" t="inlineStr">
        <is>
          <t>其他应收款净额(亿元)</t>
        </is>
      </c>
      <c r="B20" s="7" t="n">
        <v>2152.5981990802</v>
      </c>
      <c r="C20" s="7" t="n">
        <v>2213.595907895</v>
      </c>
      <c r="D20" s="8" t="n">
        <v>0.1158983427288391</v>
      </c>
      <c r="E20" s="9" t="inlineStr">
        <is>
          <t>97.47% 单项计提</t>
        </is>
      </c>
    </row>
    <row r="21">
      <c r="A21" s="5" t="inlineStr">
        <is>
          <t>合同负债(亿元)</t>
        </is>
      </c>
      <c r="B21" s="7" t="n">
        <v>1580.0311617993</v>
      </c>
      <c r="C21" s="7" t="n">
        <v>1923.6111255718</v>
      </c>
      <c r="D21" s="8" t="n">
        <v>0.445826569081096</v>
      </c>
      <c r="E21" s="9" t="inlineStr">
        <is>
          <t>一年以上占 44.58%</t>
        </is>
      </c>
    </row>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4"/>
  <sheetViews>
    <sheetView workbookViewId="0">
      <pane ySplit="3" topLeftCell="A4" activePane="bottomLeft" state="frozen"/>
      <selection pane="bottomLeft" activeCell="A1" sqref="A1"/>
    </sheetView>
  </sheetViews>
  <sheetFormatPr baseColWidth="8" defaultRowHeight="15"/>
  <sheetData>
    <row r="1">
      <c r="A1" s="1" t="inlineStr">
        <is>
          <t>Debt Profile</t>
        </is>
      </c>
    </row>
    <row r="2">
      <c r="A2" s="2" t="inlineStr">
        <is>
          <t>近端债务、长期债务、债券和租赁负债的结构化拆分。</t>
        </is>
      </c>
    </row>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n">
        <v>1039.5369928947</v>
      </c>
      <c r="D6" s="9" t="inlineStr">
        <is>
          <t>亿元</t>
        </is>
      </c>
      <c r="E6" s="9" t="inlineStr">
        <is>
          <t>无逾期借款</t>
        </is>
      </c>
    </row>
    <row r="7">
      <c r="A7" s="5" t="inlineStr">
        <is>
          <t>一年内到期的应付债券</t>
        </is>
      </c>
      <c r="B7" s="9" t="inlineStr">
        <is>
          <t>2025H1</t>
        </is>
      </c>
      <c r="C7" s="7" t="n">
        <v>273.5871747395</v>
      </c>
      <c r="D7" s="9" t="inlineStr">
        <is>
          <t>亿元</t>
        </is>
      </c>
      <c r="E7" s="9" t="inlineStr">
        <is>
          <t>兑付压力</t>
        </is>
      </c>
    </row>
    <row r="8">
      <c r="A8" s="5" t="inlineStr">
        <is>
          <t>一年内到期的租赁负债</t>
        </is>
      </c>
      <c r="B8" s="9" t="inlineStr">
        <is>
          <t>2025H1</t>
        </is>
      </c>
      <c r="C8" s="7" t="n">
        <v>17.9031151004</v>
      </c>
      <c r="D8" s="9" t="inlineStr">
        <is>
          <t>亿元</t>
        </is>
      </c>
      <c r="E8" s="9" t="inlineStr">
        <is>
          <t>广义杠杆</t>
        </is>
      </c>
    </row>
    <row r="9">
      <c r="A9" s="5" t="inlineStr">
        <is>
          <t>一年内到期的应付利息</t>
        </is>
      </c>
      <c r="B9" s="9" t="inlineStr">
        <is>
          <t>2025H1</t>
        </is>
      </c>
      <c r="C9" s="7" t="n">
        <v>16.1035915605</v>
      </c>
      <c r="D9" s="9" t="inlineStr">
        <is>
          <t>亿元</t>
        </is>
      </c>
      <c r="E9" s="9" t="inlineStr">
        <is>
          <t>现金消耗</t>
        </is>
      </c>
    </row>
    <row r="10">
      <c r="A10" s="5" t="inlineStr">
        <is>
          <t>近端到期债务合计</t>
        </is>
      </c>
      <c r="B10" s="9" t="inlineStr">
        <is>
          <t>2025H1</t>
        </is>
      </c>
      <c r="C10" s="7" t="n">
        <v>1347.1308742951</v>
      </c>
      <c r="D10" s="9" t="inlineStr">
        <is>
          <t>亿元</t>
        </is>
      </c>
      <c r="E10" s="9" t="inlineStr">
        <is>
          <t>关键压力口径</t>
        </is>
      </c>
    </row>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n">
        <v>1780.5131876928</v>
      </c>
      <c r="D14" s="9" t="inlineStr">
        <is>
          <t>亿元</t>
        </is>
      </c>
      <c r="E14" s="9" t="inlineStr">
        <is>
          <t>含各种抵押/信用/质押</t>
        </is>
      </c>
    </row>
    <row r="15">
      <c r="A15" s="5" t="inlineStr">
        <is>
          <t>应付债券净额</t>
        </is>
      </c>
      <c r="B15" s="9" t="inlineStr">
        <is>
          <t>2025H1</t>
        </is>
      </c>
      <c r="C15" s="7" t="n">
        <v>436.0203846745</v>
      </c>
      <c r="D15" s="9" t="inlineStr">
        <is>
          <t>亿元</t>
        </is>
      </c>
      <c r="E15" s="9" t="inlineStr">
        <is>
          <t>公开债为主</t>
        </is>
      </c>
    </row>
    <row r="16">
      <c r="A16" s="5" t="inlineStr">
        <is>
          <t>租赁负债净额</t>
        </is>
      </c>
      <c r="B16" s="9" t="inlineStr">
        <is>
          <t>2025H1</t>
        </is>
      </c>
      <c r="C16" s="7" t="n">
        <v>157.5385518266</v>
      </c>
      <c r="D16" s="9" t="inlineStr">
        <is>
          <t>亿元</t>
        </is>
      </c>
      <c r="E16" s="9" t="inlineStr">
        <is>
          <t>广义债务</t>
        </is>
      </c>
    </row>
    <row r="17">
      <c r="A17" s="5" t="inlineStr">
        <is>
          <t>有息债务规模（平均）</t>
        </is>
      </c>
      <c r="B17" s="9" t="inlineStr">
        <is>
          <t>2025H1</t>
        </is>
      </c>
      <c r="C17" s="7" t="n">
        <v>3960.31591041455</v>
      </c>
      <c r="D17" s="9" t="inlineStr">
        <is>
          <t>亿元</t>
        </is>
      </c>
      <c r="E17" s="9" t="inlineStr">
        <is>
          <t>期初与期末余额平均</t>
        </is>
      </c>
    </row>
    <row r="18">
      <c r="A18" s="5" t="inlineStr">
        <is>
          <t>经调整净债务</t>
        </is>
      </c>
      <c r="B18" s="9" t="inlineStr">
        <is>
          <t>2025H1</t>
        </is>
      </c>
      <c r="C18" s="7" t="n">
        <v>2902.5541628688</v>
      </c>
      <c r="D18" s="9" t="inlineStr">
        <is>
          <t>亿元</t>
        </is>
      </c>
      <c r="E18" s="9" t="inlineStr">
        <is>
          <t>总债务减货币资金</t>
        </is>
      </c>
    </row>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n">
        <v>69.1140025002</v>
      </c>
      <c r="D22" s="9" t="inlineStr">
        <is>
          <t>亿元</t>
        </is>
      </c>
      <c r="E22" s="9" t="inlineStr">
        <is>
          <t>附注46，含未资本化部分</t>
        </is>
      </c>
    </row>
    <row r="23">
      <c r="A23" s="5" t="inlineStr">
        <is>
          <t>租赁负债的利息支出</t>
        </is>
      </c>
      <c r="B23" s="9" t="inlineStr">
        <is>
          <t>2025H1</t>
        </is>
      </c>
      <c r="C23" s="7" t="n">
        <v>3.4588098844</v>
      </c>
      <c r="D23" s="9" t="inlineStr">
        <is>
          <t>亿元</t>
        </is>
      </c>
      <c r="E23" s="9" t="inlineStr">
        <is>
          <t>附注46</t>
        </is>
      </c>
    </row>
    <row r="24">
      <c r="A24" s="5" t="inlineStr">
        <is>
          <t>小计：名义利息支出</t>
        </is>
      </c>
      <c r="B24" s="9" t="inlineStr">
        <is>
          <t>2025H1</t>
        </is>
      </c>
      <c r="C24" s="7" t="n">
        <v>72.5728123846</v>
      </c>
      <c r="D24" s="9" t="inlineStr">
        <is>
          <t>亿元</t>
        </is>
      </c>
      <c r="E24" s="9" t="inlineStr">
        <is>
          <t>借款、债券及应付款项利息 + 租赁利息</t>
        </is>
      </c>
    </row>
    <row r="25">
      <c r="A25" s="5" t="inlineStr">
        <is>
          <t>减：资本化利息</t>
        </is>
      </c>
      <c r="B25" s="9" t="inlineStr">
        <is>
          <t>2025H1</t>
        </is>
      </c>
      <c r="C25" s="7" t="n">
        <v>-32.145453267</v>
      </c>
      <c r="D25" s="9" t="inlineStr">
        <is>
          <t>亿元</t>
        </is>
      </c>
      <c r="E25" s="9" t="inlineStr">
        <is>
          <t>回到真实融资成本池</t>
        </is>
      </c>
    </row>
    <row r="26">
      <c r="A26" s="5" t="inlineStr">
        <is>
          <t>半年度融资成本（含资本化）</t>
        </is>
      </c>
      <c r="B26" s="9" t="inlineStr">
        <is>
          <t>2025H1</t>
        </is>
      </c>
      <c r="C26" s="7" t="n">
        <v>104.7182656516</v>
      </c>
      <c r="D26" s="9" t="inlineStr">
        <is>
          <t>亿元</t>
        </is>
      </c>
      <c r="E26" s="9" t="inlineStr">
        <is>
          <t>融资成本分子</t>
        </is>
      </c>
    </row>
    <row r="27">
      <c r="A27" s="11" t="inlineStr">
        <is>
          <t>年化融资成本率</t>
        </is>
      </c>
      <c r="B27" s="4" t="inlineStr">
        <is>
          <t>2025H1x2</t>
        </is>
      </c>
      <c r="C27" s="12" t="n">
        <v>0.05288379413178607</v>
      </c>
      <c r="D27" s="13" t="inlineStr">
        <is>
          <t>%</t>
        </is>
      </c>
      <c r="E27" s="4" t="inlineStr">
        <is>
          <t>按平均有息债务规模口径折年</t>
        </is>
      </c>
    </row>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n">
        <v>3211.6054296106</v>
      </c>
      <c r="D31" s="9" t="inlineStr">
        <is>
          <t>亿元</t>
        </is>
      </c>
      <c r="E31" s="9" t="inlineStr">
        <is>
          <t>分母</t>
        </is>
      </c>
    </row>
    <row r="32">
      <c r="A32" s="5" t="inlineStr">
        <is>
          <t>净债务/股东权益</t>
        </is>
      </c>
      <c r="B32" s="9" t="inlineStr">
        <is>
          <t>2025H1</t>
        </is>
      </c>
      <c r="C32" s="7" t="n">
        <v>0.9037704744510686</v>
      </c>
      <c r="D32" s="9" t="inlineStr">
        <is>
          <t>x</t>
        </is>
      </c>
      <c r="E32" s="9" t="inlineStr">
        <is>
          <t>约 90.4%</t>
        </is>
      </c>
    </row>
    <row r="33">
      <c r="A33" s="5" t="inlineStr">
        <is>
          <t>总债务/股东权益</t>
        </is>
      </c>
      <c r="B33" s="9" t="inlineStr">
        <is>
          <t>2025H1</t>
        </is>
      </c>
      <c r="C33" s="7" t="n">
        <v>1.134191880195493</v>
      </c>
      <c r="D33" s="9" t="inlineStr">
        <is>
          <t>x</t>
        </is>
      </c>
      <c r="E33" s="9" t="inlineStr">
        <is>
          <t>约 113.4%</t>
        </is>
      </c>
    </row>
    <row r="34">
      <c r="A34" s="5" t="inlineStr">
        <is>
          <t>管理层披露财务契约借款规模</t>
        </is>
      </c>
      <c r="B34" s="9" t="inlineStr">
        <is>
          <t>2025H1</t>
        </is>
      </c>
      <c r="C34" s="7" t="n">
        <v>103.944</v>
      </c>
      <c r="D34" s="9" t="inlineStr">
        <is>
          <t>亿元</t>
        </is>
      </c>
      <c r="E34" s="9" t="inlineStr">
        <is>
          <t>未触发实时偿还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sheetData>
    <row r="1">
      <c r="A1" s="1" t="inlineStr">
        <is>
          <t>Cash Flow Bridge</t>
        </is>
      </c>
    </row>
    <row r="2">
      <c r="A2" s="2" t="inlineStr">
        <is>
          <t>从附注和利润补充资料里，挑出影响现金流的关键桥梁。</t>
        </is>
      </c>
    </row>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n">
        <v>-119.4657368812</v>
      </c>
      <c r="D6" s="9" t="inlineStr">
        <is>
          <t>亿元</t>
        </is>
      </c>
      <c r="E6" s="9" t="inlineStr">
        <is>
          <t>利润端起点</t>
        </is>
      </c>
    </row>
    <row r="7">
      <c r="A7" s="5" t="inlineStr">
        <is>
          <t>资产减值损失</t>
        </is>
      </c>
      <c r="B7" s="9" t="inlineStr">
        <is>
          <t>2025H1</t>
        </is>
      </c>
      <c r="C7" s="7" t="n">
        <v>51.4518472878</v>
      </c>
      <c r="D7" s="9" t="inlineStr">
        <is>
          <t>亿元</t>
        </is>
      </c>
      <c r="E7" s="9" t="inlineStr">
        <is>
          <t>利润补充资料</t>
        </is>
      </c>
    </row>
    <row r="8">
      <c r="A8" s="5" t="inlineStr">
        <is>
          <t>信用减值损失</t>
        </is>
      </c>
      <c r="B8" s="9" t="inlineStr">
        <is>
          <t>2025H1</t>
        </is>
      </c>
      <c r="C8" s="7" t="n">
        <v>3.0165134647</v>
      </c>
      <c r="D8" s="9" t="inlineStr">
        <is>
          <t>亿元</t>
        </is>
      </c>
      <c r="E8" s="9" t="inlineStr">
        <is>
          <t>应收风险仍在</t>
        </is>
      </c>
    </row>
    <row r="9">
      <c r="A9" s="5" t="inlineStr">
        <is>
          <t>投资收益(损失)</t>
        </is>
      </c>
      <c r="B9" s="9" t="inlineStr">
        <is>
          <t>2025H1</t>
        </is>
      </c>
      <c r="C9" s="7" t="n">
        <v>-5.6798009753</v>
      </c>
      <c r="D9" s="9" t="inlineStr">
        <is>
          <t>亿元</t>
        </is>
      </c>
      <c r="E9" s="9" t="inlineStr">
        <is>
          <t>非经常性波动</t>
        </is>
      </c>
    </row>
    <row r="10">
      <c r="A10" s="5" t="inlineStr">
        <is>
          <t>经营活动现金流净额</t>
        </is>
      </c>
      <c r="B10" s="9" t="inlineStr">
        <is>
          <t>2025H1</t>
        </is>
      </c>
      <c r="C10" s="7" t="n">
        <v>-30.3870459278</v>
      </c>
      <c r="D10" s="9" t="inlineStr">
        <is>
          <t>亿元</t>
        </is>
      </c>
      <c r="E10" s="9" t="inlineStr">
        <is>
          <t>现金流结果</t>
        </is>
      </c>
    </row>
    <row r="11">
      <c r="A11" s="5" t="inlineStr">
        <is>
          <t>经营现金流补充说明</t>
        </is>
      </c>
      <c r="B11" s="9" t="inlineStr">
        <is>
          <t>2025H1</t>
        </is>
      </c>
      <c r="C11" s="7" t="n">
        <v>0</v>
      </c>
      <c r="D11" s="9" t="inlineStr">
        <is>
          <t>—</t>
        </is>
      </c>
      <c r="E11" s="9" t="inlineStr">
        <is>
          <t>净亏损、减值和营运资产变化共同解释</t>
        </is>
      </c>
    </row>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n">
        <v>231.1562353941</v>
      </c>
      <c r="D15" s="9" t="inlineStr">
        <is>
          <t>亿元</t>
        </is>
      </c>
      <c r="E15" s="9" t="inlineStr">
        <is>
          <t>滚动融资</t>
        </is>
      </c>
    </row>
    <row r="16">
      <c r="A16" s="5" t="inlineStr">
        <is>
          <t>长期借款(含一年内到期)</t>
        </is>
      </c>
      <c r="B16" s="9" t="inlineStr">
        <is>
          <t>2025H1</t>
        </is>
      </c>
      <c r="C16" s="7" t="n">
        <v>282.00501805875</v>
      </c>
      <c r="D16" s="9" t="inlineStr">
        <is>
          <t>亿元</t>
        </is>
      </c>
      <c r="E16" s="9" t="inlineStr">
        <is>
          <t>筹资活动净变动后口径</t>
        </is>
      </c>
    </row>
    <row r="17">
      <c r="A17" s="5" t="inlineStr">
        <is>
          <t>应付债券(含一年内到期)</t>
        </is>
      </c>
      <c r="B17" s="9" t="inlineStr">
        <is>
          <t>2025H1</t>
        </is>
      </c>
      <c r="C17" s="7" t="n">
        <v>709.607559414</v>
      </c>
      <c r="D17" s="9" t="inlineStr">
        <is>
          <t>亿元</t>
        </is>
      </c>
      <c r="E17" s="9" t="inlineStr">
        <is>
          <t>公开债滚动</t>
        </is>
      </c>
    </row>
    <row r="18">
      <c r="A18" s="5" t="inlineStr">
        <is>
          <t>租赁负债(含一年内到期)</t>
        </is>
      </c>
      <c r="B18" s="9" t="inlineStr">
        <is>
          <t>2025H1</t>
        </is>
      </c>
      <c r="C18" s="7" t="n">
        <v>175.441666927</v>
      </c>
      <c r="D18" s="9" t="inlineStr">
        <is>
          <t>亿元</t>
        </is>
      </c>
      <c r="E18" s="9" t="inlineStr">
        <is>
          <t>广义负债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2026-04-06T03:25:48Z</dcterms:created>
  <dcterms:modified xsi:type="dcterms:W3CDTF">2026-04-06T07:50:16Z</dcterms:modified>
</cp:coreProperties>
</file>